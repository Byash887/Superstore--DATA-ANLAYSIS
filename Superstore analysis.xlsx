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922CF9D587FFF/Documents/"/>
    </mc:Choice>
  </mc:AlternateContent>
  <xr:revisionPtr revIDLastSave="951" documentId="8_{DD117DEF-7269-4A2A-A8E4-336ED742638B}" xr6:coauthVersionLast="47" xr6:coauthVersionMax="47" xr10:uidLastSave="{B439C4D2-7105-4F61-AF68-1FD0B015F3F8}"/>
  <bookViews>
    <workbookView xWindow="-108" yWindow="-108" windowWidth="23256" windowHeight="13176" firstSheet="6" activeTab="9" xr2:uid="{2E559CA6-1311-4DD7-A21E-93D5200A3130}"/>
  </bookViews>
  <sheets>
    <sheet name="RAW_DATA" sheetId="2" r:id="rId1"/>
    <sheet name="Cleaned_data" sheetId="5" r:id="rId2"/>
    <sheet name="SALES &amp; REVENUE INSIGHTS" sheetId="7" r:id="rId3"/>
    <sheet name="PROFITABILITY INSIGHTS" sheetId="10" r:id="rId4"/>
    <sheet name="DISCOUNT ANALYSIS" sheetId="11" r:id="rId5"/>
    <sheet name="SHIPPING &amp; OPERATIONAL INSIGHTS" sheetId="12" r:id="rId6"/>
    <sheet name="CUSTOMER &amp; SEGMENT INSIGHTS" sheetId="14" r:id="rId7"/>
    <sheet name="📈 TIME-BASED INSIGHTS" sheetId="15" r:id="rId8"/>
    <sheet name="Misc" sheetId="16" r:id="rId9"/>
    <sheet name="Dashboard" sheetId="17" r:id="rId10"/>
  </sheets>
  <definedNames>
    <definedName name="DATA">Cleaned_data!$A$1:$N$80</definedName>
    <definedName name="DATA1">Cleaned_data!$A$1:$O$80</definedName>
    <definedName name="ExternalData_1" localSheetId="0" hidden="1">RAW_DATA!$A$1:$N$101</definedName>
    <definedName name="ExternalData_2" localSheetId="1" hidden="1">Cleaned_data!$A$1:$N$80</definedName>
  </definedNames>
  <calcPr calcId="191029"/>
  <pivotCaches>
    <pivotCache cacheId="0" r:id="rId11"/>
    <pivotCache cacheId="9" r:id="rId12"/>
    <pivotCache cacheId="1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5" l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B17" i="11"/>
  <c r="B18" i="11"/>
  <c r="B19" i="11"/>
  <c r="B20" i="11"/>
  <c r="B21" i="11"/>
  <c r="B22" i="11"/>
  <c r="B31" i="7"/>
  <c r="B32" i="7"/>
  <c r="B33" i="7"/>
  <c r="B34" i="7"/>
  <c r="B35" i="7"/>
  <c r="B36" i="7"/>
  <c r="B37" i="7"/>
  <c r="B27" i="7"/>
  <c r="C4" i="7"/>
  <c r="A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9E83C-EEA9-4459-8AD4-F5CA66AABC18}" keepAlive="1" name="Query - Ship Date" description="Connection to the 'Ship Date' query in the workbook." type="5" refreshedVersion="8" background="1" saveData="1">
    <dbPr connection="Provider=Microsoft.Mashup.OleDb.1;Data Source=$Workbook$;Location=&quot;Ship Date&quot;;Extended Properties=&quot;&quot;" command="SELECT * FROM [Ship Date]"/>
  </connection>
  <connection id="2" xr16:uid="{57AD93A3-E54D-4F2C-946B-29916F6FD7B6}" keepAlive="1" name="Query - Superstore_Messy_Data" description="Connection to the 'Superstore_Messy_Data' query in the workbook." type="5" refreshedVersion="8" background="1" saveData="1">
    <dbPr connection="Provider=Microsoft.Mashup.OleDb.1;Data Source=$Workbook$;Location=Superstore_Messy_Data;Extended Properties=&quot;&quot;" command="SELECT * FROM [Superstore_Messy_Data]"/>
  </connection>
  <connection id="3" xr16:uid="{0E522F58-65F4-4795-837A-62AA72B48BBD}" keepAlive="1" name="Query - Superstore_Messy_Data (2)" description="Connection to the 'Superstore_Messy_Data (2)' query in the workbook." type="5" refreshedVersion="0" background="1" saveData="1">
    <dbPr connection="Provider=Microsoft.Mashup.OleDb.1;Data Source=$Workbook$;Location=&quot;Superstore_Messy_Data (2)&quot;;Extended Properties=&quot;&quot;" command="SELECT * FROM [Superstore_Messy_Data (2)]"/>
  </connection>
  <connection id="4" xr16:uid="{1B62ED49-B5BA-4875-9BB6-F224615297D2}" keepAlive="1" name="Query - Superstore_Messy_Data (3)" description="Connection to the 'Superstore_Messy_Data (3)' query in the workbook." type="5" refreshedVersion="8" background="1" saveData="1">
    <dbPr connection="Provider=Microsoft.Mashup.OleDb.1;Data Source=$Workbook$;Location=&quot;Superstore_Messy_Data (3)&quot;;Extended Properties=&quot;&quot;" command="SELECT * FROM [Superstore_Messy_Data (3)]"/>
  </connection>
  <connection id="5" xr16:uid="{20F8E2EE-1055-40C2-89C4-EA2ADCA21A34}" keepAlive="1" name="Query - Superstore_Messy_Data (4)" description="Connection to the 'Superstore_Messy_Data (4)' query in the workbook." type="5" refreshedVersion="0" background="1" saveData="1">
    <dbPr connection="Provider=Microsoft.Mashup.OleDb.1;Data Source=$Workbook$;Location=&quot;Superstore_Messy_Data (4)&quot;;Extended Properties=&quot;&quot;" command="SELECT * FROM [Superstore_Messy_Data (4)]"/>
  </connection>
</connections>
</file>

<file path=xl/sharedStrings.xml><?xml version="1.0" encoding="utf-8"?>
<sst xmlns="http://schemas.openxmlformats.org/spreadsheetml/2006/main" count="1820" uniqueCount="203">
  <si>
    <t>Order ID</t>
  </si>
  <si>
    <t>Order Date</t>
  </si>
  <si>
    <t>Ship Date</t>
  </si>
  <si>
    <t>Customer Name</t>
  </si>
  <si>
    <t>Segment</t>
  </si>
  <si>
    <t>City</t>
  </si>
  <si>
    <t>State</t>
  </si>
  <si>
    <t>Category</t>
  </si>
  <si>
    <t>Sub-Category</t>
  </si>
  <si>
    <t>Sales</t>
  </si>
  <si>
    <t>Quantity</t>
  </si>
  <si>
    <t>Discount</t>
  </si>
  <si>
    <t>Profit</t>
  </si>
  <si>
    <t>Ship Mode</t>
  </si>
  <si>
    <t>CA-1001</t>
  </si>
  <si>
    <t>Ankit Jain</t>
  </si>
  <si>
    <t>Home Office</t>
  </si>
  <si>
    <t>Bhopal</t>
  </si>
  <si>
    <t>MP</t>
  </si>
  <si>
    <t>Office Supplies</t>
  </si>
  <si>
    <t>Tables</t>
  </si>
  <si>
    <t>First Class</t>
  </si>
  <si>
    <t>CA-1002</t>
  </si>
  <si>
    <t>Sunil Patil</t>
  </si>
  <si>
    <t>Corporate</t>
  </si>
  <si>
    <t>Pune</t>
  </si>
  <si>
    <t>GJ</t>
  </si>
  <si>
    <t>Furniture</t>
  </si>
  <si>
    <t>Phones</t>
  </si>
  <si>
    <t>CA-1003</t>
  </si>
  <si>
    <t>Neha Singh</t>
  </si>
  <si>
    <t>Ahmedabad</t>
  </si>
  <si>
    <t>DL</t>
  </si>
  <si>
    <t>Chairs</t>
  </si>
  <si>
    <t>CA-1004</t>
  </si>
  <si>
    <t>Amit Shah</t>
  </si>
  <si>
    <t>Indore</t>
  </si>
  <si>
    <t>Standard Class</t>
  </si>
  <si>
    <t>CA-1005</t>
  </si>
  <si>
    <t>Mumbai</t>
  </si>
  <si>
    <t>Laptops</t>
  </si>
  <si>
    <t>CA-1006</t>
  </si>
  <si>
    <t>Consumer</t>
  </si>
  <si>
    <t>Second Class</t>
  </si>
  <si>
    <t>CA-1007</t>
  </si>
  <si>
    <t>Technology</t>
  </si>
  <si>
    <t>CA-1008</t>
  </si>
  <si>
    <t>CA-1009</t>
  </si>
  <si>
    <t>Pooja Mehta</t>
  </si>
  <si>
    <t>CA-1010</t>
  </si>
  <si>
    <t>Riya Patel</t>
  </si>
  <si>
    <t>Binders</t>
  </si>
  <si>
    <t>CA-1011</t>
  </si>
  <si>
    <t>CA-1012</t>
  </si>
  <si>
    <t>Rahul Verma</t>
  </si>
  <si>
    <t>CA-1013</t>
  </si>
  <si>
    <t>CA-1014</t>
  </si>
  <si>
    <t>Delhi</t>
  </si>
  <si>
    <t>CA-1015</t>
  </si>
  <si>
    <t>CA-1016</t>
  </si>
  <si>
    <t>CA-1017</t>
  </si>
  <si>
    <t>CA-1018</t>
  </si>
  <si>
    <t>MH</t>
  </si>
  <si>
    <t>CA-1019</t>
  </si>
  <si>
    <t>CA-1020</t>
  </si>
  <si>
    <t>CA-1021</t>
  </si>
  <si>
    <t>CA-1022</t>
  </si>
  <si>
    <t>CA-1023</t>
  </si>
  <si>
    <t>CA-1024</t>
  </si>
  <si>
    <t>CA-1025</t>
  </si>
  <si>
    <t>CA-1026</t>
  </si>
  <si>
    <t>CA-1027</t>
  </si>
  <si>
    <t>CA-1028</t>
  </si>
  <si>
    <t>Storage</t>
  </si>
  <si>
    <t>CA-1029</t>
  </si>
  <si>
    <t>CA-1030</t>
  </si>
  <si>
    <t>CA-1031</t>
  </si>
  <si>
    <t>CA-1032</t>
  </si>
  <si>
    <t>CA-1033</t>
  </si>
  <si>
    <t>CA-1034</t>
  </si>
  <si>
    <t>CA-1035</t>
  </si>
  <si>
    <t>CA-1036</t>
  </si>
  <si>
    <t>CA-1037</t>
  </si>
  <si>
    <t>CA-1038</t>
  </si>
  <si>
    <t>CA-1039</t>
  </si>
  <si>
    <t>CA-1040</t>
  </si>
  <si>
    <t>CA-1041</t>
  </si>
  <si>
    <t>CA-1042</t>
  </si>
  <si>
    <t>CA-1043</t>
  </si>
  <si>
    <t>CA-1044</t>
  </si>
  <si>
    <t>CA-1045</t>
  </si>
  <si>
    <t>CA-1046</t>
  </si>
  <si>
    <t>CA-1047</t>
  </si>
  <si>
    <t>CA-1048</t>
  </si>
  <si>
    <t>CA-1049</t>
  </si>
  <si>
    <t>CA-1050</t>
  </si>
  <si>
    <t>CA-1051</t>
  </si>
  <si>
    <t>CA-1052</t>
  </si>
  <si>
    <t>CA-1053</t>
  </si>
  <si>
    <t>CA-1054</t>
  </si>
  <si>
    <t>CA-1055</t>
  </si>
  <si>
    <t>CA-1056</t>
  </si>
  <si>
    <t>CA-1057</t>
  </si>
  <si>
    <t>CA-1058</t>
  </si>
  <si>
    <t>CA-1059</t>
  </si>
  <si>
    <t>CA-1060</t>
  </si>
  <si>
    <t>CA-1061</t>
  </si>
  <si>
    <t>CA-1062</t>
  </si>
  <si>
    <t>CA-1063</t>
  </si>
  <si>
    <t>CA-1064</t>
  </si>
  <si>
    <t>CA-1065</t>
  </si>
  <si>
    <t>CA-1066</t>
  </si>
  <si>
    <t>CA-1067</t>
  </si>
  <si>
    <t>CA-1068</t>
  </si>
  <si>
    <t>CA-1069</t>
  </si>
  <si>
    <t>CA-1070</t>
  </si>
  <si>
    <t>CA-1071</t>
  </si>
  <si>
    <t>CA-1072</t>
  </si>
  <si>
    <t>CA-1073</t>
  </si>
  <si>
    <t>CA-1074</t>
  </si>
  <si>
    <t>CA-1075</t>
  </si>
  <si>
    <t>CA-1076</t>
  </si>
  <si>
    <t>CA-1077</t>
  </si>
  <si>
    <t>CA-1078</t>
  </si>
  <si>
    <t>CA-1079</t>
  </si>
  <si>
    <t>CA-1080</t>
  </si>
  <si>
    <t>CA-1081</t>
  </si>
  <si>
    <t>CA-1082</t>
  </si>
  <si>
    <t>CA-1083</t>
  </si>
  <si>
    <t>CA-1084</t>
  </si>
  <si>
    <t>CA-1085</t>
  </si>
  <si>
    <t>CA-1086</t>
  </si>
  <si>
    <t>CA-1087</t>
  </si>
  <si>
    <t>CA-1088</t>
  </si>
  <si>
    <t>CA-1089</t>
  </si>
  <si>
    <t>CA-1090</t>
  </si>
  <si>
    <t>CA-1091</t>
  </si>
  <si>
    <t>CA-1092</t>
  </si>
  <si>
    <t>CA-1093</t>
  </si>
  <si>
    <t>CA-1094</t>
  </si>
  <si>
    <t>CA-1095</t>
  </si>
  <si>
    <t>CA-1096</t>
  </si>
  <si>
    <t>CA-1097</t>
  </si>
  <si>
    <t>CA-1098</t>
  </si>
  <si>
    <t>CA-1099</t>
  </si>
  <si>
    <t>CA-1100</t>
  </si>
  <si>
    <t>Total_Revenue</t>
  </si>
  <si>
    <t>Unkown Customer</t>
  </si>
  <si>
    <t>NA</t>
  </si>
  <si>
    <t>Somewhere</t>
  </si>
  <si>
    <r>
      <t xml:space="preserve">What is the </t>
    </r>
    <r>
      <rPr>
        <b/>
        <sz val="11"/>
        <color theme="1"/>
        <rFont val="Calibri"/>
        <family val="2"/>
        <scheme val="minor"/>
      </rPr>
      <t>total revenue and total profit</t>
    </r>
    <r>
      <rPr>
        <sz val="11"/>
        <color theme="1"/>
        <rFont val="Calibri"/>
        <family val="2"/>
        <scheme val="minor"/>
      </rPr>
      <t xml:space="preserve"> overall?</t>
    </r>
  </si>
  <si>
    <t xml:space="preserve">Total revenue </t>
  </si>
  <si>
    <t>Total Profit</t>
  </si>
  <si>
    <r>
      <t xml:space="preserve">Which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generates the </t>
    </r>
    <r>
      <rPr>
        <b/>
        <sz val="11"/>
        <color theme="1"/>
        <rFont val="Calibri"/>
        <family val="2"/>
        <scheme val="minor"/>
      </rPr>
      <t>highest total revenue</t>
    </r>
    <r>
      <rPr>
        <sz val="11"/>
        <color theme="1"/>
        <rFont val="Calibri"/>
        <family val="2"/>
        <scheme val="minor"/>
      </rPr>
      <t>?</t>
    </r>
  </si>
  <si>
    <t>Row Labels</t>
  </si>
  <si>
    <t>Grand Total</t>
  </si>
  <si>
    <t>Sum of Total_Revenue</t>
  </si>
  <si>
    <r>
      <t xml:space="preserve">Which </t>
    </r>
    <r>
      <rPr>
        <b/>
        <sz val="11"/>
        <color theme="1"/>
        <rFont val="Calibri"/>
        <family val="2"/>
        <scheme val="minor"/>
      </rPr>
      <t>sub-category</t>
    </r>
    <r>
      <rPr>
        <sz val="11"/>
        <color theme="1"/>
        <rFont val="Calibri"/>
        <family val="2"/>
        <scheme val="minor"/>
      </rPr>
      <t xml:space="preserve"> is the </t>
    </r>
    <r>
      <rPr>
        <b/>
        <sz val="11"/>
        <color theme="1"/>
        <rFont val="Calibri"/>
        <family val="2"/>
        <scheme val="minor"/>
      </rPr>
      <t>least profitable</t>
    </r>
    <r>
      <rPr>
        <sz val="11"/>
        <color theme="1"/>
        <rFont val="Calibri"/>
        <family val="2"/>
        <scheme val="minor"/>
      </rPr>
      <t>?</t>
    </r>
  </si>
  <si>
    <t>Sum of Profit</t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</si>
  <si>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 sales value per order</t>
    </r>
    <r>
      <rPr>
        <sz val="11"/>
        <color theme="1"/>
        <rFont val="Calibri"/>
        <family val="2"/>
        <scheme val="minor"/>
      </rPr>
      <t>?</t>
    </r>
  </si>
  <si>
    <t>Sum of Sales</t>
  </si>
  <si>
    <r>
      <t xml:space="preserve">Which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contributes the </t>
    </r>
    <r>
      <rPr>
        <b/>
        <sz val="11"/>
        <color theme="1"/>
        <rFont val="Calibri"/>
        <family val="2"/>
        <scheme val="minor"/>
      </rPr>
      <t>maximum revenue</t>
    </r>
    <r>
      <rPr>
        <sz val="11"/>
        <color theme="1"/>
        <rFont val="Calibri"/>
        <family val="2"/>
        <scheme val="minor"/>
      </rPr>
      <t>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</si>
  <si>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has </t>
    </r>
    <r>
      <rPr>
        <b/>
        <sz val="11"/>
        <color theme="1"/>
        <rFont val="Calibri"/>
        <family val="2"/>
        <scheme val="minor"/>
      </rPr>
      <t>high sales but low profit</t>
    </r>
    <r>
      <rPr>
        <sz val="11"/>
        <color theme="1"/>
        <rFont val="Calibri"/>
        <family val="2"/>
        <scheme val="minor"/>
      </rPr>
      <t>?</t>
    </r>
  </si>
  <si>
    <t>Min of Profit</t>
  </si>
  <si>
    <r>
      <t xml:space="preserve">Which </t>
    </r>
    <r>
      <rPr>
        <b/>
        <sz val="11"/>
        <color theme="1"/>
        <rFont val="Calibri"/>
        <family val="2"/>
        <scheme val="minor"/>
      </rPr>
      <t>category has the highest profit margin</t>
    </r>
    <r>
      <rPr>
        <sz val="11"/>
        <color theme="1"/>
        <rFont val="Calibri"/>
        <family val="2"/>
        <scheme val="minor"/>
      </rPr>
      <t>?</t>
    </r>
  </si>
  <si>
    <t>Profit Marzine</t>
  </si>
  <si>
    <r>
      <t xml:space="preserve">Are there any </t>
    </r>
    <r>
      <rPr>
        <b/>
        <sz val="11"/>
        <color theme="1"/>
        <rFont val="Calibri"/>
        <family val="2"/>
        <scheme val="minor"/>
      </rPr>
      <t>orders with negative profit</t>
    </r>
    <r>
      <rPr>
        <sz val="11"/>
        <color theme="1"/>
        <rFont val="Calibri"/>
        <family val="2"/>
        <scheme val="minor"/>
      </rPr>
      <t>? Why?</t>
    </r>
  </si>
  <si>
    <t xml:space="preserve">Here are the order ID with the negative profit there is no sale for that specifics order ID and stlll the discount has been calculated for that </t>
  </si>
  <si>
    <t>Jan</t>
  </si>
  <si>
    <t>Feb</t>
  </si>
  <si>
    <t>Mar</t>
  </si>
  <si>
    <t>Average of Profit</t>
  </si>
  <si>
    <r>
      <t xml:space="preserve">Which </t>
    </r>
    <r>
      <rPr>
        <b/>
        <sz val="11"/>
        <color theme="1"/>
        <rFont val="Calibri"/>
        <family val="2"/>
        <scheme val="minor"/>
      </rPr>
      <t>city has the highest average profit?</t>
    </r>
  </si>
  <si>
    <r>
      <t xml:space="preserve">How does </t>
    </r>
    <r>
      <rPr>
        <b/>
        <sz val="11"/>
        <color theme="1"/>
        <rFont val="Calibri"/>
        <family val="2"/>
        <scheme val="minor"/>
      </rPr>
      <t>discount impact profit</t>
    </r>
    <r>
      <rPr>
        <sz val="11"/>
        <color theme="1"/>
        <rFont val="Calibri"/>
        <family val="2"/>
        <scheme val="minor"/>
      </rPr>
      <t>?</t>
    </r>
  </si>
  <si>
    <t>Sum of Discount</t>
  </si>
  <si>
    <t>The above indicated the cat where the discount is more the profit is compartively is less</t>
  </si>
  <si>
    <r>
      <t xml:space="preserve">Which </t>
    </r>
    <r>
      <rPr>
        <b/>
        <sz val="11"/>
        <color theme="1"/>
        <rFont val="Calibri"/>
        <family val="2"/>
        <scheme val="minor"/>
      </rPr>
      <t>categories receive the highest average discount</t>
    </r>
    <r>
      <rPr>
        <sz val="11"/>
        <color theme="1"/>
        <rFont val="Calibri"/>
        <family val="2"/>
        <scheme val="minor"/>
      </rPr>
      <t>?</t>
    </r>
  </si>
  <si>
    <t>Hieghest_Avg_Disc</t>
  </si>
  <si>
    <r>
      <t xml:space="preserve">Are high discounts leading to </t>
    </r>
    <r>
      <rPr>
        <b/>
        <sz val="11"/>
        <color theme="1"/>
        <rFont val="Calibri"/>
        <family val="2"/>
        <scheme val="minor"/>
      </rPr>
      <t>higher sales volume</t>
    </r>
    <r>
      <rPr>
        <sz val="11"/>
        <color theme="1"/>
        <rFont val="Calibri"/>
        <family val="2"/>
        <scheme val="minor"/>
      </rPr>
      <t>?</t>
    </r>
  </si>
  <si>
    <t xml:space="preserve">Yes we can say that the sale of the cat is more where the discount is more </t>
  </si>
  <si>
    <r>
      <t xml:space="preserve">Which </t>
    </r>
    <r>
      <rPr>
        <b/>
        <sz val="11"/>
        <color theme="1"/>
        <rFont val="Calibri"/>
        <family val="2"/>
        <scheme val="minor"/>
      </rPr>
      <t>sub-category is most sensitive to discounts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</si>
  <si>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 delivery time</t>
    </r>
    <r>
      <rPr>
        <sz val="11"/>
        <color theme="1"/>
        <rFont val="Calibri"/>
        <family val="2"/>
        <scheme val="minor"/>
      </rPr>
      <t xml:space="preserve"> (Ship Date – Order Date)?</t>
    </r>
  </si>
  <si>
    <t xml:space="preserve">Delivery Time </t>
  </si>
  <si>
    <t xml:space="preserve">Sum of Delivery Time </t>
  </si>
  <si>
    <t xml:space="preserve">Average of Delivery Time </t>
  </si>
  <si>
    <r>
      <t xml:space="preserve">Which </t>
    </r>
    <r>
      <rPr>
        <b/>
        <sz val="11"/>
        <color theme="1"/>
        <rFont val="Calibri"/>
        <family val="2"/>
        <scheme val="minor"/>
      </rPr>
      <t>cities have the longest delivery time</t>
    </r>
    <r>
      <rPr>
        <sz val="11"/>
        <color theme="1"/>
        <rFont val="Calibri"/>
        <family val="2"/>
        <scheme val="minor"/>
      </rPr>
      <t>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</si>
  <si>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segment (Consumer / Corporate / Home Office)</t>
    </r>
    <r>
      <rPr>
        <sz val="11"/>
        <color theme="1"/>
        <rFont val="Calibri"/>
        <family val="2"/>
        <scheme val="minor"/>
      </rPr>
      <t xml:space="preserve"> generates the most revenue?</t>
    </r>
  </si>
  <si>
    <r>
      <t xml:space="preserve">Which segment is </t>
    </r>
    <r>
      <rPr>
        <b/>
        <sz val="11"/>
        <color theme="1"/>
        <rFont val="Calibri"/>
        <family val="2"/>
        <scheme val="minor"/>
      </rPr>
      <t>most profitable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</si>
  <si>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 order value per segment</t>
    </r>
    <r>
      <rPr>
        <sz val="11"/>
        <color theme="1"/>
        <rFont val="Calibri"/>
        <family val="2"/>
        <scheme val="minor"/>
      </rPr>
      <t>?</t>
    </r>
  </si>
  <si>
    <t>Avg_order_Value</t>
  </si>
  <si>
    <r>
      <t xml:space="preserve">Which customer segment receives </t>
    </r>
    <r>
      <rPr>
        <b/>
        <sz val="11"/>
        <color theme="1"/>
        <rFont val="Calibri"/>
        <family val="2"/>
        <scheme val="minor"/>
      </rPr>
      <t>maximum discounts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</si>
  <si>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monthly sales trend</t>
    </r>
    <r>
      <rPr>
        <sz val="11"/>
        <color theme="1"/>
        <rFont val="Calibri"/>
        <family val="2"/>
        <scheme val="minor"/>
      </rPr>
      <t>?</t>
    </r>
  </si>
  <si>
    <t>Count of Order ID</t>
  </si>
  <si>
    <t>Here we can say that the jan is most saling month in the dataset</t>
  </si>
  <si>
    <r>
      <t xml:space="preserve">Which month has the </t>
    </r>
    <r>
      <rPr>
        <b/>
        <sz val="11"/>
        <color theme="1"/>
        <rFont val="Calibri"/>
        <family val="2"/>
        <scheme val="minor"/>
      </rPr>
      <t>highest profit</t>
    </r>
    <r>
      <rPr>
        <sz val="11"/>
        <color theme="1"/>
        <rFont val="Calibri"/>
        <family val="2"/>
        <scheme val="minor"/>
      </rPr>
      <t>?</t>
    </r>
  </si>
  <si>
    <r>
      <t xml:space="preserve">Are there </t>
    </r>
    <r>
      <rPr>
        <b/>
        <sz val="11"/>
        <color theme="1"/>
        <rFont val="Calibri"/>
        <family val="2"/>
        <scheme val="minor"/>
      </rPr>
      <t>seasonal spikes in sales</t>
    </r>
    <r>
      <rPr>
        <sz val="11"/>
        <color theme="1"/>
        <rFont val="Calibri"/>
        <family val="2"/>
        <scheme val="minor"/>
      </rPr>
      <t>?</t>
    </r>
  </si>
  <si>
    <t xml:space="preserve">The above isnights are clearly indicated that there is peak sale in two months and very low in third one </t>
  </si>
  <si>
    <t>Here we can see that there is more profit in the feb months as compare to other months.</t>
  </si>
  <si>
    <r>
      <t xml:space="preserve">Identify </t>
    </r>
    <r>
      <rPr>
        <b/>
        <sz val="11"/>
        <color theme="1"/>
        <rFont val="Calibri"/>
        <family val="2"/>
        <scheme val="minor"/>
      </rPr>
      <t>top 10% orders contributing to revenue</t>
    </r>
    <r>
      <rPr>
        <sz val="11"/>
        <color theme="1"/>
        <rFont val="Calibri"/>
        <family val="2"/>
        <scheme val="minor"/>
      </rPr>
      <t xml:space="preserve"> (Pareto 80/20).</t>
    </r>
  </si>
  <si>
    <t>% of profit</t>
  </si>
  <si>
    <r>
      <t xml:space="preserve">Which products should be </t>
    </r>
    <r>
      <rPr>
        <b/>
        <sz val="11"/>
        <color theme="1"/>
        <rFont val="Calibri"/>
        <family val="2"/>
        <scheme val="minor"/>
      </rPr>
      <t>discontinued due to losses</t>
    </r>
    <r>
      <rPr>
        <sz val="11"/>
        <color theme="1"/>
        <rFont val="Calibri"/>
        <family val="2"/>
        <scheme val="minor"/>
      </rPr>
      <t>?</t>
    </r>
  </si>
  <si>
    <t xml:space="preserve">Thi is the list of the order id which are not profitable and should be discountuned after the losses </t>
  </si>
  <si>
    <t>Superstore -Analysis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</si>
</sst>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20"/>
      <color theme="1"/>
      <name val="Agency FB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horizontal="center"/>
    </xf>
    <xf numFmtId="10" fontId="0" fillId="0" borderId="0" xfId="0" applyNumberFormat="1"/>
    <xf numFmtId="10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0" fontId="0" fillId="2" borderId="1" xfId="0" applyNumberFormat="1" applyFill="1" applyBorder="1"/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10" fontId="0" fillId="2" borderId="1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7" borderId="0" xfId="0" applyFill="1"/>
    <xf numFmtId="0" fontId="0" fillId="8" borderId="0" xfId="0" applyFill="1" applyBorder="1"/>
    <xf numFmtId="0" fontId="4" fillId="8" borderId="0" xfId="0" applyFont="1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</cellXfs>
  <cellStyles count="1">
    <cellStyle name="Normal" xfId="0" builtinId="0"/>
  </cellStyles>
  <dxfs count="59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theme="9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analysis.xlsx]Dashboard!PivotTable8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gency FB" panose="020B0503020202020204" pitchFamily="34" charset="0"/>
              </a:rPr>
              <a:t>Months wise</a:t>
            </a:r>
            <a:r>
              <a:rPr lang="en-US" sz="1200" b="1" baseline="0">
                <a:latin typeface="Agency FB" panose="020B0503020202020204" pitchFamily="34" charset="0"/>
              </a:rPr>
              <a:t> order </a:t>
            </a:r>
            <a:endParaRPr lang="en-US" sz="1200" b="1">
              <a:latin typeface="Agency FB" panose="020B05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 rotWithShape="1">
          <a:gsLst>
            <a:gs pos="0">
              <a:schemeClr val="dk1">
                <a:satMod val="103000"/>
                <a:lumMod val="102000"/>
                <a:tint val="94000"/>
              </a:schemeClr>
            </a:gs>
            <a:gs pos="50000">
              <a:schemeClr val="dk1">
                <a:satMod val="110000"/>
                <a:lumMod val="100000"/>
                <a:shade val="10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p3d/>
      </c:spPr>
    </c:sideWall>
    <c:backWall>
      <c:thickness val="0"/>
      <c:spPr>
        <a:gradFill rotWithShape="1">
          <a:gsLst>
            <a:gs pos="0">
              <a:schemeClr val="dk1">
                <a:satMod val="103000"/>
                <a:lumMod val="102000"/>
                <a:tint val="94000"/>
              </a:schemeClr>
            </a:gs>
            <a:gs pos="50000">
              <a:schemeClr val="dk1">
                <a:satMod val="110000"/>
                <a:lumMod val="100000"/>
                <a:shade val="100000"/>
              </a:schemeClr>
            </a:gs>
            <a:gs pos="100000">
              <a:schemeClr val="dk1"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Dashboard!$A$5:$A$8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3"/>
                <c:pt idx="0">
                  <c:v>40</c:v>
                </c:pt>
                <c:pt idx="1">
                  <c:v>37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D-42F5-993B-C1586F2C4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07232"/>
        <c:axId val="601511072"/>
        <c:axId val="487383440"/>
      </c:line3DChart>
      <c:catAx>
        <c:axId val="60150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11072"/>
        <c:crosses val="autoZero"/>
        <c:auto val="1"/>
        <c:lblAlgn val="ctr"/>
        <c:lblOffset val="100"/>
        <c:noMultiLvlLbl val="0"/>
      </c:catAx>
      <c:valAx>
        <c:axId val="601511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07232"/>
        <c:crosses val="autoZero"/>
        <c:crossBetween val="between"/>
      </c:valAx>
      <c:serAx>
        <c:axId val="4873834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1107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22860</xdr:rowOff>
    </xdr:from>
    <xdr:to>
      <xdr:col>5</xdr:col>
      <xdr:colOff>571500</xdr:colOff>
      <xdr:row>18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26A76D-6F60-458B-52D1-0319B472E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bhondve" refreshedDate="46036.572063425927" createdVersion="8" refreshedVersion="8" minRefreshableVersion="3" recordCount="79" xr:uid="{09D55258-844B-4CBC-B003-A3218A16E5A2}">
  <cacheSource type="worksheet">
    <worksheetSource ref="A1:N80" sheet="Cleaned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3-01-01T00:00:00" maxDate="2023-03-02T00:00:00"/>
    </cacheField>
    <cacheField name="Ship Date" numFmtId="14">
      <sharedItems containsSemiMixedTypes="0" containsNonDate="0" containsDate="1" containsString="0" minDate="2023-01-03T00:00:00" maxDate="2023-03-07T00:00:00"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containsInteger="1" minValue="0" maxValue="56299"/>
    </cacheField>
    <cacheField name="Quantity" numFmtId="0">
      <sharedItems containsSemiMixedTypes="0" containsString="0" containsNumber="1" containsInteger="1" minValue="1" maxValue="10"/>
    </cacheField>
    <cacheField name="Total_Revenue" numFmtId="0">
      <sharedItems containsSemiMixedTypes="0" containsString="0" containsNumber="1" containsInteger="1" minValue="0" maxValue="483975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-0.1" maxValue="48397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bhondve" refreshedDate="46036.574057291669" createdVersion="8" refreshedVersion="8" minRefreshableVersion="3" recordCount="79" xr:uid="{E438DFA4-BDFA-4E18-A49F-134570728CEF}">
  <cacheSource type="worksheet">
    <worksheetSource name="DATA"/>
  </cacheSource>
  <cacheFields count="16">
    <cacheField name="Order ID" numFmtId="0">
      <sharedItems count="79">
        <s v="CA-1001"/>
        <s v="CA-1002"/>
        <s v="CA-1003"/>
        <s v="CA-1004"/>
        <s v="CA-1005"/>
        <s v="CA-1006"/>
        <s v="CA-1007"/>
        <s v="CA-1008"/>
        <s v="CA-1009"/>
        <s v="CA-1010"/>
        <s v="CA-1011"/>
        <s v="CA-1012"/>
        <s v="CA-1014"/>
        <s v="CA-1016"/>
        <s v="CA-1017"/>
        <s v="CA-1018"/>
        <s v="CA-1019"/>
        <s v="CA-1020"/>
        <s v="CA-1021"/>
        <s v="CA-1022"/>
        <s v="CA-1023"/>
        <s v="CA-1024"/>
        <s v="CA-1026"/>
        <s v="CA-1027"/>
        <s v="CA-1028"/>
        <s v="CA-1029"/>
        <s v="CA-1031"/>
        <s v="CA-1032"/>
        <s v="CA-1033"/>
        <s v="CA-1036"/>
        <s v="CA-1037"/>
        <s v="CA-1038"/>
        <s v="CA-1039"/>
        <s v="CA-1040"/>
        <s v="CA-1041"/>
        <s v="CA-1042"/>
        <s v="CA-1045"/>
        <s v="CA-1046"/>
        <s v="CA-1047"/>
        <s v="CA-1048"/>
        <s v="CA-1049"/>
        <s v="CA-1050"/>
        <s v="CA-1051"/>
        <s v="CA-1052"/>
        <s v="CA-1053"/>
        <s v="CA-1054"/>
        <s v="CA-1056"/>
        <s v="CA-1058"/>
        <s v="CA-1059"/>
        <s v="CA-1060"/>
        <s v="CA-1062"/>
        <s v="CA-1064"/>
        <s v="CA-1066"/>
        <s v="CA-1067"/>
        <s v="CA-1069"/>
        <s v="CA-1070"/>
        <s v="CA-1072"/>
        <s v="CA-1074"/>
        <s v="CA-1075"/>
        <s v="CA-1076"/>
        <s v="CA-1077"/>
        <s v="CA-1078"/>
        <s v="CA-1080"/>
        <s v="CA-1081"/>
        <s v="CA-1082"/>
        <s v="CA-1083"/>
        <s v="CA-1084"/>
        <s v="CA-1086"/>
        <s v="CA-1088"/>
        <s v="CA-1089"/>
        <s v="CA-1091"/>
        <s v="CA-1092"/>
        <s v="CA-1093"/>
        <s v="CA-1094"/>
        <s v="CA-1096"/>
        <s v="CA-1097"/>
        <s v="CA-1098"/>
        <s v="CA-1099"/>
        <s v="CA-1100"/>
      </sharedItems>
    </cacheField>
    <cacheField name="Order Date" numFmtId="14">
      <sharedItems containsSemiMixedTypes="0" containsNonDate="0" containsDate="1" containsString="0" minDate="2023-01-01T00:00:00" maxDate="2023-03-02T00:00:00" count="41">
        <d v="2023-01-25T00:00:00"/>
        <d v="2023-01-09T00:00:00"/>
        <d v="2023-01-02T00:00:00"/>
        <d v="2023-02-02T00:00:00"/>
        <d v="2023-01-17T00:00:00"/>
        <d v="2023-01-15T00:00:00"/>
        <d v="2023-01-22T00:00:00"/>
        <d v="2023-02-25T00:00:00"/>
        <d v="2023-01-21T00:00:00"/>
        <d v="2023-01-27T00:00:00"/>
        <d v="2023-01-20T00:00:00"/>
        <d v="2023-02-18T00:00:00"/>
        <d v="2023-02-14T00:00:00"/>
        <d v="2023-01-16T00:00:00"/>
        <d v="2023-01-01T00:00:00"/>
        <d v="2023-02-03T00:00:00"/>
        <d v="2023-01-03T00:00:00"/>
        <d v="2023-01-13T00:00:00"/>
        <d v="2023-01-07T00:00:00"/>
        <d v="2023-02-19T00:00:00"/>
        <d v="2023-01-19T00:00:00"/>
        <d v="2023-01-30T00:00:00"/>
        <d v="2023-02-22T00:00:00"/>
        <d v="2023-02-10T00:00:00"/>
        <d v="2023-03-01T00:00:00"/>
        <d v="2023-02-28T00:00:00"/>
        <d v="2023-02-07T00:00:00"/>
        <d v="2023-02-20T00:00:00"/>
        <d v="2023-02-27T00:00:00"/>
        <d v="2023-02-01T00:00:00"/>
        <d v="2023-02-15T00:00:00"/>
        <d v="2023-02-16T00:00:00"/>
        <d v="2023-01-24T00:00:00"/>
        <d v="2023-02-26T00:00:00"/>
        <d v="2023-01-05T00:00:00"/>
        <d v="2023-01-29T00:00:00"/>
        <d v="2023-01-23T00:00:00"/>
        <d v="2023-01-18T00:00:00"/>
        <d v="2023-01-11T00:00:00"/>
        <d v="2023-02-12T00:00:00"/>
        <d v="2023-02-21T00:00:00"/>
      </sharedItems>
      <fieldGroup par="15"/>
    </cacheField>
    <cacheField name="Ship Date" numFmtId="14">
      <sharedItems containsSemiMixedTypes="0" containsNonDate="0" containsDate="1" containsString="0" minDate="2023-01-03T00:00:00" maxDate="2023-03-07T00:00:00"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City" numFmtId="0">
      <sharedItems count="7">
        <s v="Bhopal"/>
        <s v="Pune"/>
        <s v="Ahmedabad"/>
        <s v="Indore"/>
        <s v="Mumbai"/>
        <s v="Somewhere"/>
        <s v="Delhi"/>
      </sharedItems>
    </cacheField>
    <cacheField name="State" numFmtId="0">
      <sharedItems count="5">
        <s v="MP"/>
        <s v="GJ"/>
        <s v="DL"/>
        <s v="NA"/>
        <s v="MH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6">
        <s v="Tables"/>
        <s v="Phones"/>
        <s v="Chairs"/>
        <s v="Laptops"/>
        <s v="Binders"/>
        <s v="Storage"/>
      </sharedItems>
    </cacheField>
    <cacheField name="Sales" numFmtId="0">
      <sharedItems containsSemiMixedTypes="0" containsString="0" containsNumber="1" containsInteger="1" minValue="0" maxValue="56299" count="31">
        <n v="200"/>
        <n v="20808"/>
        <n v="44368"/>
        <n v="30679"/>
        <n v="0"/>
        <n v="3761"/>
        <n v="20756"/>
        <n v="41630"/>
        <n v="10029"/>
        <n v="44328"/>
        <n v="3756"/>
        <n v="17251"/>
        <n v="43210"/>
        <n v="41010"/>
        <n v="55161"/>
        <n v="35633"/>
        <n v="22479"/>
        <n v="21824"/>
        <n v="21801"/>
        <n v="56299"/>
        <n v="18719"/>
        <n v="30157"/>
        <n v="18890"/>
        <n v="16464"/>
        <n v="55497"/>
        <n v="23611"/>
        <n v="17776"/>
        <n v="10619"/>
        <n v="53775"/>
        <n v="14971"/>
        <n v="34210"/>
      </sharedItems>
    </cacheField>
    <cacheField name="Quantity" numFmtId="0">
      <sharedItems containsSemiMixedTypes="0" containsString="0" containsNumber="1" containsInteger="1" minValue="1" maxValue="10"/>
    </cacheField>
    <cacheField name="Total_Revenue" numFmtId="0">
      <sharedItems containsSemiMixedTypes="0" containsString="0" containsNumber="1" containsInteger="1" minValue="0" maxValue="483975"/>
    </cacheField>
    <cacheField name="Discount" numFmtId="0">
      <sharedItems containsSemiMixedTypes="0" containsString="0" containsNumber="1" minValue="0" maxValue="0.2" count="4">
        <n v="0"/>
        <n v="0.1"/>
        <n v="0.2"/>
        <n v="0.05"/>
      </sharedItems>
    </cacheField>
    <cacheField name="Profit" numFmtId="0">
      <sharedItems containsSemiMixedTypes="0" containsString="0" containsNumber="1" minValue="-0.1" maxValue="483974.9"/>
    </cacheField>
    <cacheField name="Days (Order Date)" numFmtId="0" databaseField="0">
      <fieldGroup base="1">
        <rangePr groupBy="days" startDate="2023-01-01T00:00:00" endDate="2023-03-02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3-2023"/>
        </groupItems>
      </fieldGroup>
    </cacheField>
    <cacheField name="Months (Order Date)" numFmtId="0" databaseField="0">
      <fieldGroup base="1">
        <rangePr groupBy="months" startDate="2023-01-01T00:00:00" endDate="2023-03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3"/>
        </groupItems>
      </fieldGroup>
    </cacheField>
  </cacheFields>
  <extLst>
    <ext xmlns:x14="http://schemas.microsoft.com/office/spreadsheetml/2009/9/main" uri="{725AE2AE-9491-48be-B2B4-4EB974FC3084}">
      <x14:pivotCacheDefinition pivotCacheId="103354270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bhondve" refreshedDate="46036.627072569441" createdVersion="8" refreshedVersion="8" minRefreshableVersion="3" recordCount="79" xr:uid="{F2E6967F-188A-4BFE-9ABE-7EBBA524323F}">
  <cacheSource type="worksheet">
    <worksheetSource name="DATA1"/>
  </cacheSource>
  <cacheFields count="17">
    <cacheField name="Order ID" numFmtId="0">
      <sharedItems count="79">
        <s v="CA-1001"/>
        <s v="CA-1002"/>
        <s v="CA-1003"/>
        <s v="CA-1004"/>
        <s v="CA-1005"/>
        <s v="CA-1006"/>
        <s v="CA-1007"/>
        <s v="CA-1008"/>
        <s v="CA-1009"/>
        <s v="CA-1010"/>
        <s v="CA-1011"/>
        <s v="CA-1012"/>
        <s v="CA-1014"/>
        <s v="CA-1016"/>
        <s v="CA-1017"/>
        <s v="CA-1018"/>
        <s v="CA-1019"/>
        <s v="CA-1020"/>
        <s v="CA-1021"/>
        <s v="CA-1022"/>
        <s v="CA-1023"/>
        <s v="CA-1024"/>
        <s v="CA-1026"/>
        <s v="CA-1027"/>
        <s v="CA-1028"/>
        <s v="CA-1029"/>
        <s v="CA-1031"/>
        <s v="CA-1032"/>
        <s v="CA-1033"/>
        <s v="CA-1036"/>
        <s v="CA-1037"/>
        <s v="CA-1038"/>
        <s v="CA-1039"/>
        <s v="CA-1040"/>
        <s v="CA-1041"/>
        <s v="CA-1042"/>
        <s v="CA-1045"/>
        <s v="CA-1046"/>
        <s v="CA-1047"/>
        <s v="CA-1048"/>
        <s v="CA-1049"/>
        <s v="CA-1050"/>
        <s v="CA-1051"/>
        <s v="CA-1052"/>
        <s v="CA-1053"/>
        <s v="CA-1054"/>
        <s v="CA-1056"/>
        <s v="CA-1058"/>
        <s v="CA-1059"/>
        <s v="CA-1060"/>
        <s v="CA-1062"/>
        <s v="CA-1064"/>
        <s v="CA-1066"/>
        <s v="CA-1067"/>
        <s v="CA-1069"/>
        <s v="CA-1070"/>
        <s v="CA-1072"/>
        <s v="CA-1074"/>
        <s v="CA-1075"/>
        <s v="CA-1076"/>
        <s v="CA-1077"/>
        <s v="CA-1078"/>
        <s v="CA-1080"/>
        <s v="CA-1081"/>
        <s v="CA-1082"/>
        <s v="CA-1083"/>
        <s v="CA-1084"/>
        <s v="CA-1086"/>
        <s v="CA-1088"/>
        <s v="CA-1089"/>
        <s v="CA-1091"/>
        <s v="CA-1092"/>
        <s v="CA-1093"/>
        <s v="CA-1094"/>
        <s v="CA-1096"/>
        <s v="CA-1097"/>
        <s v="CA-1098"/>
        <s v="CA-1099"/>
        <s v="CA-1100"/>
      </sharedItems>
    </cacheField>
    <cacheField name="Order Date" numFmtId="14">
      <sharedItems containsSemiMixedTypes="0" containsNonDate="0" containsDate="1" containsString="0" minDate="2023-01-01T00:00:00" maxDate="2023-03-02T00:00:00" count="41">
        <d v="2023-01-25T00:00:00"/>
        <d v="2023-01-09T00:00:00"/>
        <d v="2023-01-02T00:00:00"/>
        <d v="2023-02-02T00:00:00"/>
        <d v="2023-01-17T00:00:00"/>
        <d v="2023-01-15T00:00:00"/>
        <d v="2023-01-22T00:00:00"/>
        <d v="2023-02-25T00:00:00"/>
        <d v="2023-01-21T00:00:00"/>
        <d v="2023-01-27T00:00:00"/>
        <d v="2023-01-20T00:00:00"/>
        <d v="2023-02-18T00:00:00"/>
        <d v="2023-02-14T00:00:00"/>
        <d v="2023-01-16T00:00:00"/>
        <d v="2023-01-01T00:00:00"/>
        <d v="2023-02-03T00:00:00"/>
        <d v="2023-01-03T00:00:00"/>
        <d v="2023-01-13T00:00:00"/>
        <d v="2023-01-07T00:00:00"/>
        <d v="2023-02-19T00:00:00"/>
        <d v="2023-01-19T00:00:00"/>
        <d v="2023-01-30T00:00:00"/>
        <d v="2023-02-22T00:00:00"/>
        <d v="2023-02-10T00:00:00"/>
        <d v="2023-03-01T00:00:00"/>
        <d v="2023-02-28T00:00:00"/>
        <d v="2023-02-07T00:00:00"/>
        <d v="2023-02-20T00:00:00"/>
        <d v="2023-02-27T00:00:00"/>
        <d v="2023-02-01T00:00:00"/>
        <d v="2023-02-15T00:00:00"/>
        <d v="2023-02-16T00:00:00"/>
        <d v="2023-01-24T00:00:00"/>
        <d v="2023-02-26T00:00:00"/>
        <d v="2023-01-05T00:00:00"/>
        <d v="2023-01-29T00:00:00"/>
        <d v="2023-01-23T00:00:00"/>
        <d v="2023-01-18T00:00:00"/>
        <d v="2023-01-11T00:00:00"/>
        <d v="2023-02-12T00:00:00"/>
        <d v="2023-02-21T00:00:00"/>
      </sharedItems>
      <fieldGroup par="16"/>
    </cacheField>
    <cacheField name="Ship Date" numFmtId="14">
      <sharedItems containsSemiMixedTypes="0" containsNonDate="0" containsDate="1" containsString="0" minDate="2023-01-03T00:00:00" maxDate="2023-03-07T00:00:00"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City" numFmtId="0">
      <sharedItems count="7">
        <s v="Bhopal"/>
        <s v="Pune"/>
        <s v="Ahmedabad"/>
        <s v="Indore"/>
        <s v="Mumbai"/>
        <s v="Somewhere"/>
        <s v="Delhi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containsInteger="1" minValue="0" maxValue="56299"/>
    </cacheField>
    <cacheField name="Quantity" numFmtId="0">
      <sharedItems containsSemiMixedTypes="0" containsString="0" containsNumber="1" containsInteger="1" minValue="1" maxValue="10"/>
    </cacheField>
    <cacheField name="Total_Revenue" numFmtId="0">
      <sharedItems containsSemiMixedTypes="0" containsString="0" containsNumber="1" containsInteger="1" minValue="0" maxValue="483975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-0.1" maxValue="483974.9"/>
    </cacheField>
    <cacheField name="Delivery Time " numFmtId="0">
      <sharedItems containsSemiMixedTypes="0" containsString="0" containsNumber="1" containsInteger="1" minValue="1" maxValue="7"/>
    </cacheField>
    <cacheField name="Days (Order Date)" numFmtId="0" databaseField="0">
      <fieldGroup base="1">
        <rangePr groupBy="days" startDate="2023-01-01T00:00:00" endDate="2023-03-02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3-2023"/>
        </groupItems>
      </fieldGroup>
    </cacheField>
    <cacheField name="Months (Order Date)" numFmtId="0" databaseField="0">
      <fieldGroup base="1">
        <rangePr groupBy="months" startDate="2023-01-01T00:00:00" endDate="2023-03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3"/>
        </groupItems>
      </fieldGroup>
    </cacheField>
  </cacheFields>
  <extLst>
    <ext xmlns:x14="http://schemas.microsoft.com/office/spreadsheetml/2009/9/main" uri="{725AE2AE-9491-48be-B2B4-4EB974FC3084}">
      <x14:pivotCacheDefinition pivotCacheId="9337723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A-1001"/>
    <d v="2023-01-25T00:00:00"/>
    <d v="2023-01-27T00:00:00"/>
    <s v="Ankit Jain"/>
    <s v="Home Office"/>
    <s v="Bhopal"/>
    <s v="MP"/>
    <x v="0"/>
    <s v="Tables"/>
    <n v="200"/>
    <n v="5"/>
    <n v="1000"/>
    <n v="0"/>
    <n v="1000"/>
  </r>
  <r>
    <s v="CA-1002"/>
    <d v="2023-01-09T00:00:00"/>
    <d v="2023-01-15T00:00:00"/>
    <s v="Sunil Patil"/>
    <s v="Corporate"/>
    <s v="Pune"/>
    <s v="GJ"/>
    <x v="1"/>
    <s v="Phones"/>
    <n v="20808"/>
    <n v="2"/>
    <n v="41616"/>
    <n v="0.1"/>
    <n v="41615.9"/>
  </r>
  <r>
    <s v="CA-1003"/>
    <d v="2023-01-02T00:00:00"/>
    <d v="2023-01-07T00:00:00"/>
    <s v="Neha Singh"/>
    <s v="Corporate"/>
    <s v="Ahmedabad"/>
    <s v="DL"/>
    <x v="0"/>
    <s v="Chairs"/>
    <n v="200"/>
    <n v="3"/>
    <n v="600"/>
    <n v="0"/>
    <n v="600"/>
  </r>
  <r>
    <s v="CA-1004"/>
    <d v="2023-02-02T00:00:00"/>
    <d v="2023-02-07T00:00:00"/>
    <s v="Amit Shah"/>
    <s v="Home Office"/>
    <s v="Indore"/>
    <s v="DL"/>
    <x v="1"/>
    <s v="Tables"/>
    <n v="44368"/>
    <n v="5"/>
    <n v="221840"/>
    <n v="0"/>
    <n v="221840"/>
  </r>
  <r>
    <s v="CA-1005"/>
    <d v="2023-01-17T00:00:00"/>
    <d v="2023-01-20T00:00:00"/>
    <s v="Unkown Customer"/>
    <s v="Corporate"/>
    <s v="Mumbai"/>
    <s v="MP"/>
    <x v="1"/>
    <s v="Laptops"/>
    <n v="30679"/>
    <n v="10"/>
    <n v="306790"/>
    <n v="0.2"/>
    <n v="306789.8"/>
  </r>
  <r>
    <s v="CA-1006"/>
    <d v="2023-01-17T00:00:00"/>
    <d v="2023-01-18T00:00:00"/>
    <s v="Ankit Jain"/>
    <s v="Consumer"/>
    <s v="Mumbai"/>
    <s v="NA"/>
    <x v="1"/>
    <s v="Laptops"/>
    <n v="0"/>
    <n v="9"/>
    <n v="0"/>
    <n v="0"/>
    <n v="0"/>
  </r>
  <r>
    <s v="CA-1007"/>
    <d v="2023-01-15T00:00:00"/>
    <d v="2023-01-19T00:00:00"/>
    <s v="Unkown Customer"/>
    <s v="Home Office"/>
    <s v="Mumbai"/>
    <s v="GJ"/>
    <x v="2"/>
    <s v="Tables"/>
    <n v="3761"/>
    <n v="5"/>
    <n v="18805"/>
    <n v="0.2"/>
    <n v="18804.8"/>
  </r>
  <r>
    <s v="CA-1008"/>
    <d v="2023-01-22T00:00:00"/>
    <d v="2023-01-28T00:00:00"/>
    <s v="Amit Shah"/>
    <s v="Corporate"/>
    <s v="Somewhere"/>
    <s v="GJ"/>
    <x v="0"/>
    <s v="Chairs"/>
    <n v="20756"/>
    <n v="5"/>
    <n v="103780"/>
    <n v="0.05"/>
    <n v="103779.95"/>
  </r>
  <r>
    <s v="CA-1009"/>
    <d v="2023-02-25T00:00:00"/>
    <d v="2023-03-04T00:00:00"/>
    <s v="Pooja Mehta"/>
    <s v="Consumer"/>
    <s v="Mumbai"/>
    <s v="NA"/>
    <x v="0"/>
    <s v="Phones"/>
    <n v="41630"/>
    <n v="7"/>
    <n v="291410"/>
    <n v="0.05"/>
    <n v="291409.95"/>
  </r>
  <r>
    <s v="CA-1010"/>
    <d v="2023-01-21T00:00:00"/>
    <d v="2023-01-25T00:00:00"/>
    <s v="Riya Patel"/>
    <s v="Corporate"/>
    <s v="Mumbai"/>
    <s v="NA"/>
    <x v="2"/>
    <s v="Binders"/>
    <n v="10029"/>
    <n v="9"/>
    <n v="90261"/>
    <n v="0"/>
    <n v="90261"/>
  </r>
  <r>
    <s v="CA-1011"/>
    <d v="2023-01-27T00:00:00"/>
    <d v="2023-02-03T00:00:00"/>
    <s v="Ankit Jain"/>
    <s v="Consumer"/>
    <s v="Somewhere"/>
    <s v="GJ"/>
    <x v="1"/>
    <s v="Tables"/>
    <n v="200"/>
    <n v="5"/>
    <n v="1000"/>
    <n v="0.2"/>
    <n v="999.8"/>
  </r>
  <r>
    <s v="CA-1012"/>
    <d v="2023-01-20T00:00:00"/>
    <d v="2023-01-22T00:00:00"/>
    <s v="Rahul Verma"/>
    <s v="Home Office"/>
    <s v="Mumbai"/>
    <s v="NA"/>
    <x v="1"/>
    <s v="Laptops"/>
    <n v="44328"/>
    <n v="9"/>
    <n v="398952"/>
    <n v="0"/>
    <n v="398952"/>
  </r>
  <r>
    <s v="CA-1014"/>
    <d v="2023-02-18T00:00:00"/>
    <d v="2023-02-24T00:00:00"/>
    <s v="Amit Shah"/>
    <s v="Corporate"/>
    <s v="Delhi"/>
    <s v="NA"/>
    <x v="0"/>
    <s v="Phones"/>
    <n v="0"/>
    <n v="7"/>
    <n v="0"/>
    <n v="0.1"/>
    <n v="-0.1"/>
  </r>
  <r>
    <s v="CA-1016"/>
    <d v="2023-02-14T00:00:00"/>
    <d v="2023-02-21T00:00:00"/>
    <s v="Pooja Mehta"/>
    <s v="Consumer"/>
    <s v="Pune"/>
    <s v="GJ"/>
    <x v="1"/>
    <s v="Chairs"/>
    <n v="3756"/>
    <n v="4"/>
    <n v="15024"/>
    <n v="0.2"/>
    <n v="15023.8"/>
  </r>
  <r>
    <s v="CA-1017"/>
    <d v="2023-01-16T00:00:00"/>
    <d v="2023-01-21T00:00:00"/>
    <s v="Neha Singh"/>
    <s v="Corporate"/>
    <s v="Bhopal"/>
    <s v="GJ"/>
    <x v="2"/>
    <s v="Phones"/>
    <n v="0"/>
    <n v="2"/>
    <n v="0"/>
    <n v="0.1"/>
    <n v="-0.1"/>
  </r>
  <r>
    <s v="CA-1018"/>
    <d v="2023-01-01T00:00:00"/>
    <d v="2023-01-08T00:00:00"/>
    <s v="Amit Shah"/>
    <s v="Corporate"/>
    <s v="Bhopal"/>
    <s v="MH"/>
    <x v="1"/>
    <s v="Tables"/>
    <n v="200"/>
    <n v="7"/>
    <n v="1400"/>
    <n v="0"/>
    <n v="1400"/>
  </r>
  <r>
    <s v="CA-1019"/>
    <d v="2023-02-03T00:00:00"/>
    <d v="2023-02-06T00:00:00"/>
    <s v="Unkown Customer"/>
    <s v="Corporate"/>
    <s v="Mumbai"/>
    <s v="MH"/>
    <x v="2"/>
    <s v="Binders"/>
    <n v="17251"/>
    <n v="8"/>
    <n v="138008"/>
    <n v="0.2"/>
    <n v="138007.79999999999"/>
  </r>
  <r>
    <s v="CA-1020"/>
    <d v="2023-02-02T00:00:00"/>
    <d v="2023-02-07T00:00:00"/>
    <s v="Neha Singh"/>
    <s v="Home Office"/>
    <s v="Delhi"/>
    <s v="MH"/>
    <x v="2"/>
    <s v="Phones"/>
    <n v="0"/>
    <n v="4"/>
    <n v="0"/>
    <n v="0"/>
    <n v="0"/>
  </r>
  <r>
    <s v="CA-1021"/>
    <d v="2023-01-03T00:00:00"/>
    <d v="2023-01-09T00:00:00"/>
    <s v="Ankit Jain"/>
    <s v="Home Office"/>
    <s v="Pune"/>
    <s v="DL"/>
    <x v="2"/>
    <s v="Phones"/>
    <n v="200"/>
    <n v="6"/>
    <n v="1200"/>
    <n v="0.2"/>
    <n v="1199.8"/>
  </r>
  <r>
    <s v="CA-1022"/>
    <d v="2023-01-13T00:00:00"/>
    <d v="2023-01-14T00:00:00"/>
    <s v="Sunil Patil"/>
    <s v="Corporate"/>
    <s v="Ahmedabad"/>
    <s v="DL"/>
    <x v="2"/>
    <s v="Binders"/>
    <n v="43210"/>
    <n v="2"/>
    <n v="86420"/>
    <n v="0.2"/>
    <n v="86419.8"/>
  </r>
  <r>
    <s v="CA-1023"/>
    <d v="2023-01-07T00:00:00"/>
    <d v="2023-01-14T00:00:00"/>
    <s v="Neha Singh"/>
    <s v="Home Office"/>
    <s v="Indore"/>
    <s v="DL"/>
    <x v="0"/>
    <s v="Phones"/>
    <n v="41010"/>
    <n v="7"/>
    <n v="287070"/>
    <n v="0.2"/>
    <n v="287069.8"/>
  </r>
  <r>
    <s v="CA-1024"/>
    <d v="2023-01-16T00:00:00"/>
    <d v="2023-01-18T00:00:00"/>
    <s v="Neha Singh"/>
    <s v="Corporate"/>
    <s v="Delhi"/>
    <s v="MH"/>
    <x v="2"/>
    <s v="Tables"/>
    <n v="0"/>
    <n v="10"/>
    <n v="0"/>
    <n v="0.1"/>
    <n v="-0.1"/>
  </r>
  <r>
    <s v="CA-1026"/>
    <d v="2023-01-20T00:00:00"/>
    <d v="2023-01-24T00:00:00"/>
    <s v="Riya Patel"/>
    <s v="Home Office"/>
    <s v="Mumbai"/>
    <s v="NA"/>
    <x v="2"/>
    <s v="Binders"/>
    <n v="200"/>
    <n v="2"/>
    <n v="400"/>
    <n v="0.2"/>
    <n v="399.8"/>
  </r>
  <r>
    <s v="CA-1027"/>
    <d v="2023-02-19T00:00:00"/>
    <d v="2023-02-20T00:00:00"/>
    <s v="Neha Singh"/>
    <s v="Corporate"/>
    <s v="Mumbai"/>
    <s v="DL"/>
    <x v="1"/>
    <s v="Laptops"/>
    <n v="200"/>
    <n v="8"/>
    <n v="1600"/>
    <n v="0"/>
    <n v="1600"/>
  </r>
  <r>
    <s v="CA-1028"/>
    <d v="2023-01-19T00:00:00"/>
    <d v="2023-01-20T00:00:00"/>
    <s v="Rahul Verma"/>
    <s v="Home Office"/>
    <s v="Indore"/>
    <s v="NA"/>
    <x v="2"/>
    <s v="Storage"/>
    <n v="55161"/>
    <n v="2"/>
    <n v="110322"/>
    <n v="0"/>
    <n v="110322"/>
  </r>
  <r>
    <s v="CA-1029"/>
    <d v="2023-02-25T00:00:00"/>
    <d v="2023-03-03T00:00:00"/>
    <s v="Sunil Patil"/>
    <s v="Corporate"/>
    <s v="Somewhere"/>
    <s v="MP"/>
    <x v="1"/>
    <s v="Laptops"/>
    <n v="200"/>
    <n v="9"/>
    <n v="1800"/>
    <n v="0"/>
    <n v="1800"/>
  </r>
  <r>
    <s v="CA-1031"/>
    <d v="2023-01-30T00:00:00"/>
    <d v="2023-02-05T00:00:00"/>
    <s v="Rahul Verma"/>
    <s v="Corporate"/>
    <s v="Pune"/>
    <s v="NA"/>
    <x v="0"/>
    <s v="Binders"/>
    <n v="0"/>
    <n v="9"/>
    <n v="0"/>
    <n v="0"/>
    <n v="0"/>
  </r>
  <r>
    <s v="CA-1032"/>
    <d v="2023-02-22T00:00:00"/>
    <d v="2023-03-01T00:00:00"/>
    <s v="Unkown Customer"/>
    <s v="Corporate"/>
    <s v="Delhi"/>
    <s v="GJ"/>
    <x v="2"/>
    <s v="Storage"/>
    <n v="35633"/>
    <n v="2"/>
    <n v="71266"/>
    <n v="0"/>
    <n v="71266"/>
  </r>
  <r>
    <s v="CA-1033"/>
    <d v="2023-02-10T00:00:00"/>
    <d v="2023-02-12T00:00:00"/>
    <s v="Rahul Verma"/>
    <s v="Consumer"/>
    <s v="Ahmedabad"/>
    <s v="GJ"/>
    <x v="2"/>
    <s v="Tables"/>
    <n v="200"/>
    <n v="5"/>
    <n v="1000"/>
    <n v="0.2"/>
    <n v="999.8"/>
  </r>
  <r>
    <s v="CA-1036"/>
    <d v="2023-03-01T00:00:00"/>
    <d v="2023-03-05T00:00:00"/>
    <s v="Ankit Jain"/>
    <s v="Corporate"/>
    <s v="Delhi"/>
    <s v="NA"/>
    <x v="2"/>
    <s v="Storage"/>
    <n v="200"/>
    <n v="1"/>
    <n v="200"/>
    <n v="0"/>
    <n v="200"/>
  </r>
  <r>
    <s v="CA-1037"/>
    <d v="2023-01-25T00:00:00"/>
    <d v="2023-01-31T00:00:00"/>
    <s v="Ankit Jain"/>
    <s v="Corporate"/>
    <s v="Somewhere"/>
    <s v="MH"/>
    <x v="2"/>
    <s v="Phones"/>
    <n v="0"/>
    <n v="8"/>
    <n v="0"/>
    <n v="0.1"/>
    <n v="-0.1"/>
  </r>
  <r>
    <s v="CA-1038"/>
    <d v="2023-02-28T00:00:00"/>
    <d v="2023-03-02T00:00:00"/>
    <s v="Sunil Patil"/>
    <s v="Corporate"/>
    <s v="Bhopal"/>
    <s v="MP"/>
    <x v="0"/>
    <s v="Phones"/>
    <n v="22479"/>
    <n v="3"/>
    <n v="67437"/>
    <n v="0.1"/>
    <n v="67436.899999999994"/>
  </r>
  <r>
    <s v="CA-1039"/>
    <d v="2023-01-13T00:00:00"/>
    <d v="2023-01-17T00:00:00"/>
    <s v="Unkown Customer"/>
    <s v="Corporate"/>
    <s v="Bhopal"/>
    <s v="GJ"/>
    <x v="1"/>
    <s v="Binders"/>
    <n v="0"/>
    <n v="3"/>
    <n v="0"/>
    <n v="0.05"/>
    <n v="-0.05"/>
  </r>
  <r>
    <s v="CA-1040"/>
    <d v="2023-02-19T00:00:00"/>
    <d v="2023-02-23T00:00:00"/>
    <s v="Pooja Mehta"/>
    <s v="Home Office"/>
    <s v="Somewhere"/>
    <s v="MP"/>
    <x v="2"/>
    <s v="Storage"/>
    <n v="200"/>
    <n v="3"/>
    <n v="600"/>
    <n v="0"/>
    <n v="600"/>
  </r>
  <r>
    <s v="CA-1041"/>
    <d v="2023-02-07T00:00:00"/>
    <d v="2023-02-09T00:00:00"/>
    <s v="Pooja Mehta"/>
    <s v="Corporate"/>
    <s v="Mumbai"/>
    <s v="GJ"/>
    <x v="1"/>
    <s v="Storage"/>
    <n v="0"/>
    <n v="4"/>
    <n v="0"/>
    <n v="0.1"/>
    <n v="-0.1"/>
  </r>
  <r>
    <s v="CA-1042"/>
    <d v="2023-02-20T00:00:00"/>
    <d v="2023-02-26T00:00:00"/>
    <s v="Amit Shah"/>
    <s v="Consumer"/>
    <s v="Delhi"/>
    <s v="MP"/>
    <x v="2"/>
    <s v="Storage"/>
    <n v="0"/>
    <n v="5"/>
    <n v="0"/>
    <n v="0.05"/>
    <n v="-0.05"/>
  </r>
  <r>
    <s v="CA-1045"/>
    <d v="2023-02-27T00:00:00"/>
    <d v="2023-03-04T00:00:00"/>
    <s v="Pooja Mehta"/>
    <s v="Home Office"/>
    <s v="Indore"/>
    <s v="MP"/>
    <x v="2"/>
    <s v="Storage"/>
    <n v="200"/>
    <n v="3"/>
    <n v="600"/>
    <n v="0"/>
    <n v="600"/>
  </r>
  <r>
    <s v="CA-1046"/>
    <d v="2023-02-01T00:00:00"/>
    <d v="2023-02-04T00:00:00"/>
    <s v="Amit Shah"/>
    <s v="Corporate"/>
    <s v="Indore"/>
    <s v="NA"/>
    <x v="0"/>
    <s v="Tables"/>
    <n v="0"/>
    <n v="9"/>
    <n v="0"/>
    <n v="0.05"/>
    <n v="-0.05"/>
  </r>
  <r>
    <s v="CA-1047"/>
    <d v="2023-01-02T00:00:00"/>
    <d v="2023-01-09T00:00:00"/>
    <s v="Ankit Jain"/>
    <s v="Consumer"/>
    <s v="Mumbai"/>
    <s v="GJ"/>
    <x v="2"/>
    <s v="Phones"/>
    <n v="21824"/>
    <n v="3"/>
    <n v="65472"/>
    <n v="0"/>
    <n v="65472"/>
  </r>
  <r>
    <s v="CA-1048"/>
    <d v="2023-01-17T00:00:00"/>
    <d v="2023-01-20T00:00:00"/>
    <s v="Ankit Jain"/>
    <s v="Consumer"/>
    <s v="Pune"/>
    <s v="MH"/>
    <x v="2"/>
    <s v="Binders"/>
    <n v="0"/>
    <n v="8"/>
    <n v="0"/>
    <n v="0.1"/>
    <n v="-0.1"/>
  </r>
  <r>
    <s v="CA-1049"/>
    <d v="2023-02-28T00:00:00"/>
    <d v="2023-03-02T00:00:00"/>
    <s v="Riya Patel"/>
    <s v="Corporate"/>
    <s v="Pune"/>
    <s v="NA"/>
    <x v="1"/>
    <s v="Binders"/>
    <n v="0"/>
    <n v="5"/>
    <n v="0"/>
    <n v="0"/>
    <n v="0"/>
  </r>
  <r>
    <s v="CA-1050"/>
    <d v="2023-01-25T00:00:00"/>
    <d v="2023-02-01T00:00:00"/>
    <s v="Rahul Verma"/>
    <s v="Corporate"/>
    <s v="Pune"/>
    <s v="MP"/>
    <x v="0"/>
    <s v="Chairs"/>
    <n v="0"/>
    <n v="2"/>
    <n v="0"/>
    <n v="0.1"/>
    <n v="-0.1"/>
  </r>
  <r>
    <s v="CA-1051"/>
    <d v="2023-02-14T00:00:00"/>
    <d v="2023-02-17T00:00:00"/>
    <s v="Neha Singh"/>
    <s v="Consumer"/>
    <s v="Mumbai"/>
    <s v="DL"/>
    <x v="1"/>
    <s v="Phones"/>
    <n v="21801"/>
    <n v="10"/>
    <n v="218010"/>
    <n v="0.1"/>
    <n v="218009.9"/>
  </r>
  <r>
    <s v="CA-1052"/>
    <d v="2023-02-18T00:00:00"/>
    <d v="2023-02-23T00:00:00"/>
    <s v="Rahul Verma"/>
    <s v="Consumer"/>
    <s v="Bhopal"/>
    <s v="MP"/>
    <x v="2"/>
    <s v="Chairs"/>
    <n v="56299"/>
    <n v="1"/>
    <n v="56299"/>
    <n v="0"/>
    <n v="56299"/>
  </r>
  <r>
    <s v="CA-1053"/>
    <d v="2023-01-25T00:00:00"/>
    <d v="2023-01-28T00:00:00"/>
    <s v="Rahul Verma"/>
    <s v="Home Office"/>
    <s v="Delhi"/>
    <s v="NA"/>
    <x v="0"/>
    <s v="Storage"/>
    <n v="0"/>
    <n v="7"/>
    <n v="0"/>
    <n v="0.1"/>
    <n v="-0.1"/>
  </r>
  <r>
    <s v="CA-1054"/>
    <d v="2023-02-20T00:00:00"/>
    <d v="2023-02-22T00:00:00"/>
    <s v="Amit Shah"/>
    <s v="Corporate"/>
    <s v="Somewhere"/>
    <s v="MP"/>
    <x v="0"/>
    <s v="Storage"/>
    <n v="0"/>
    <n v="1"/>
    <n v="0"/>
    <n v="0.05"/>
    <n v="-0.05"/>
  </r>
  <r>
    <s v="CA-1056"/>
    <d v="2023-02-15T00:00:00"/>
    <d v="2023-02-20T00:00:00"/>
    <s v="Rahul Verma"/>
    <s v="Consumer"/>
    <s v="Mumbai"/>
    <s v="NA"/>
    <x v="0"/>
    <s v="Chairs"/>
    <n v="200"/>
    <n v="10"/>
    <n v="2000"/>
    <n v="0"/>
    <n v="2000"/>
  </r>
  <r>
    <s v="CA-1058"/>
    <d v="2023-01-01T00:00:00"/>
    <d v="2023-01-06T00:00:00"/>
    <s v="Sunil Patil"/>
    <s v="Corporate"/>
    <s v="Mumbai"/>
    <s v="MP"/>
    <x v="1"/>
    <s v="Laptops"/>
    <n v="18719"/>
    <n v="4"/>
    <n v="74876"/>
    <n v="0.05"/>
    <n v="74875.95"/>
  </r>
  <r>
    <s v="CA-1059"/>
    <d v="2023-02-02T00:00:00"/>
    <d v="2023-02-06T00:00:00"/>
    <s v="Neha Singh"/>
    <s v="Consumer"/>
    <s v="Bhopal"/>
    <s v="GJ"/>
    <x v="0"/>
    <s v="Laptops"/>
    <n v="0"/>
    <n v="10"/>
    <n v="0"/>
    <n v="0.1"/>
    <n v="-0.1"/>
  </r>
  <r>
    <s v="CA-1060"/>
    <d v="2023-02-16T00:00:00"/>
    <d v="2023-02-17T00:00:00"/>
    <s v="Riya Patel"/>
    <s v="Consumer"/>
    <s v="Ahmedabad"/>
    <s v="DL"/>
    <x v="0"/>
    <s v="Binders"/>
    <n v="30157"/>
    <n v="3"/>
    <n v="90471"/>
    <n v="0.2"/>
    <n v="90470.8"/>
  </r>
  <r>
    <s v="CA-1062"/>
    <d v="2023-01-24T00:00:00"/>
    <d v="2023-01-25T00:00:00"/>
    <s v="Unkown Customer"/>
    <s v="Home Office"/>
    <s v="Mumbai"/>
    <s v="MP"/>
    <x v="0"/>
    <s v="Laptops"/>
    <n v="0"/>
    <n v="9"/>
    <n v="0"/>
    <n v="0"/>
    <n v="0"/>
  </r>
  <r>
    <s v="CA-1064"/>
    <d v="2023-02-26T00:00:00"/>
    <d v="2023-02-28T00:00:00"/>
    <s v="Pooja Mehta"/>
    <s v="Consumer"/>
    <s v="Somewhere"/>
    <s v="MH"/>
    <x v="2"/>
    <s v="Binders"/>
    <n v="18890"/>
    <n v="4"/>
    <n v="75560"/>
    <n v="0.05"/>
    <n v="75559.95"/>
  </r>
  <r>
    <s v="CA-1066"/>
    <d v="2023-02-15T00:00:00"/>
    <d v="2023-02-20T00:00:00"/>
    <s v="Unkown Customer"/>
    <s v="Home Office"/>
    <s v="Indore"/>
    <s v="GJ"/>
    <x v="0"/>
    <s v="Phones"/>
    <n v="0"/>
    <n v="10"/>
    <n v="0"/>
    <n v="0.1"/>
    <n v="-0.1"/>
  </r>
  <r>
    <s v="CA-1067"/>
    <d v="2023-01-15T00:00:00"/>
    <d v="2023-01-22T00:00:00"/>
    <s v="Riya Patel"/>
    <s v="Corporate"/>
    <s v="Indore"/>
    <s v="GJ"/>
    <x v="0"/>
    <s v="Tables"/>
    <n v="200"/>
    <n v="7"/>
    <n v="1400"/>
    <n v="0"/>
    <n v="1400"/>
  </r>
  <r>
    <s v="CA-1069"/>
    <d v="2023-02-18T00:00:00"/>
    <d v="2023-02-20T00:00:00"/>
    <s v="Amit Shah"/>
    <s v="Home Office"/>
    <s v="Mumbai"/>
    <s v="MP"/>
    <x v="1"/>
    <s v="Binders"/>
    <n v="200"/>
    <n v="1"/>
    <n v="200"/>
    <n v="0.05"/>
    <n v="199.95"/>
  </r>
  <r>
    <s v="CA-1070"/>
    <d v="2023-01-05T00:00:00"/>
    <d v="2023-01-10T00:00:00"/>
    <s v="Rahul Verma"/>
    <s v="Corporate"/>
    <s v="Ahmedabad"/>
    <s v="MH"/>
    <x v="0"/>
    <s v="Phones"/>
    <n v="16464"/>
    <n v="3"/>
    <n v="49392"/>
    <n v="0.05"/>
    <n v="49391.95"/>
  </r>
  <r>
    <s v="CA-1072"/>
    <d v="2023-01-29T00:00:00"/>
    <d v="2023-01-30T00:00:00"/>
    <s v="Pooja Mehta"/>
    <s v="Corporate"/>
    <s v="Ahmedabad"/>
    <s v="NA"/>
    <x v="2"/>
    <s v="Phones"/>
    <n v="55497"/>
    <n v="1"/>
    <n v="55497"/>
    <n v="0"/>
    <n v="55497"/>
  </r>
  <r>
    <s v="CA-1074"/>
    <d v="2023-01-09T00:00:00"/>
    <d v="2023-01-12T00:00:00"/>
    <s v="Amit Shah"/>
    <s v="Consumer"/>
    <s v="Pune"/>
    <s v="MH"/>
    <x v="2"/>
    <s v="Chairs"/>
    <n v="200"/>
    <n v="3"/>
    <n v="600"/>
    <n v="0"/>
    <n v="600"/>
  </r>
  <r>
    <s v="CA-1075"/>
    <d v="2023-03-01T00:00:00"/>
    <d v="2023-03-06T00:00:00"/>
    <s v="Amit Shah"/>
    <s v="Consumer"/>
    <s v="Pune"/>
    <s v="DL"/>
    <x v="1"/>
    <s v="Binders"/>
    <n v="0"/>
    <n v="8"/>
    <n v="0"/>
    <n v="0"/>
    <n v="0"/>
  </r>
  <r>
    <s v="CA-1076"/>
    <d v="2023-01-02T00:00:00"/>
    <d v="2023-01-03T00:00:00"/>
    <s v="Unkown Customer"/>
    <s v="Home Office"/>
    <s v="Somewhere"/>
    <s v="MH"/>
    <x v="2"/>
    <s v="Phones"/>
    <n v="0"/>
    <n v="9"/>
    <n v="0"/>
    <n v="0"/>
    <n v="0"/>
  </r>
  <r>
    <s v="CA-1077"/>
    <d v="2023-02-20T00:00:00"/>
    <d v="2023-02-25T00:00:00"/>
    <s v="Unkown Customer"/>
    <s v="Corporate"/>
    <s v="Mumbai"/>
    <s v="GJ"/>
    <x v="2"/>
    <s v="Storage"/>
    <n v="0"/>
    <n v="2"/>
    <n v="0"/>
    <n v="0.1"/>
    <n v="-0.1"/>
  </r>
  <r>
    <s v="CA-1078"/>
    <d v="2023-02-10T00:00:00"/>
    <d v="2023-02-15T00:00:00"/>
    <s v="Sunil Patil"/>
    <s v="Home Office"/>
    <s v="Ahmedabad"/>
    <s v="MP"/>
    <x v="0"/>
    <s v="Laptops"/>
    <n v="200"/>
    <n v="3"/>
    <n v="600"/>
    <n v="0"/>
    <n v="600"/>
  </r>
  <r>
    <s v="CA-1080"/>
    <d v="2023-01-30T00:00:00"/>
    <d v="2023-01-31T00:00:00"/>
    <s v="Rahul Verma"/>
    <s v="Corporate"/>
    <s v="Bhopal"/>
    <s v="MP"/>
    <x v="0"/>
    <s v="Binders"/>
    <n v="200"/>
    <n v="7"/>
    <n v="1400"/>
    <n v="0.1"/>
    <n v="1399.9"/>
  </r>
  <r>
    <s v="CA-1081"/>
    <d v="2023-01-23T00:00:00"/>
    <d v="2023-01-26T00:00:00"/>
    <s v="Pooja Mehta"/>
    <s v="Home Office"/>
    <s v="Mumbai"/>
    <s v="MH"/>
    <x v="1"/>
    <s v="Tables"/>
    <n v="0"/>
    <n v="6"/>
    <n v="0"/>
    <n v="0.05"/>
    <n v="-0.05"/>
  </r>
  <r>
    <s v="CA-1082"/>
    <d v="2023-01-02T00:00:00"/>
    <d v="2023-01-06T00:00:00"/>
    <s v="Amit Shah"/>
    <s v="Corporate"/>
    <s v="Somewhere"/>
    <s v="MH"/>
    <x v="2"/>
    <s v="Tables"/>
    <n v="23611"/>
    <n v="10"/>
    <n v="236110"/>
    <n v="0.2"/>
    <n v="236109.8"/>
  </r>
  <r>
    <s v="CA-1083"/>
    <d v="2023-02-07T00:00:00"/>
    <d v="2023-02-13T00:00:00"/>
    <s v="Sunil Patil"/>
    <s v="Corporate"/>
    <s v="Indore"/>
    <s v="DL"/>
    <x v="1"/>
    <s v="Binders"/>
    <n v="200"/>
    <n v="4"/>
    <n v="800"/>
    <n v="0"/>
    <n v="800"/>
  </r>
  <r>
    <s v="CA-1084"/>
    <d v="2023-02-28T00:00:00"/>
    <d v="2023-03-04T00:00:00"/>
    <s v="Sunil Patil"/>
    <s v="Home Office"/>
    <s v="Mumbai"/>
    <s v="MH"/>
    <x v="1"/>
    <s v="Binders"/>
    <n v="200"/>
    <n v="5"/>
    <n v="1000"/>
    <n v="0.1"/>
    <n v="999.9"/>
  </r>
  <r>
    <s v="CA-1086"/>
    <d v="2023-01-18T00:00:00"/>
    <d v="2023-01-24T00:00:00"/>
    <s v="Neha Singh"/>
    <s v="Home Office"/>
    <s v="Mumbai"/>
    <s v="MP"/>
    <x v="1"/>
    <s v="Chairs"/>
    <n v="0"/>
    <n v="7"/>
    <n v="0"/>
    <n v="0"/>
    <n v="0"/>
  </r>
  <r>
    <s v="CA-1088"/>
    <d v="2023-01-23T00:00:00"/>
    <d v="2023-01-30T00:00:00"/>
    <s v="Unkown Customer"/>
    <s v="Consumer"/>
    <s v="Somewhere"/>
    <s v="MP"/>
    <x v="1"/>
    <s v="Tables"/>
    <n v="0"/>
    <n v="6"/>
    <n v="0"/>
    <n v="0.05"/>
    <n v="-0.05"/>
  </r>
  <r>
    <s v="CA-1089"/>
    <d v="2023-01-11T00:00:00"/>
    <d v="2023-01-14T00:00:00"/>
    <s v="Rahul Verma"/>
    <s v="Home Office"/>
    <s v="Bhopal"/>
    <s v="DL"/>
    <x v="2"/>
    <s v="Tables"/>
    <n v="200"/>
    <n v="7"/>
    <n v="1400"/>
    <n v="0.05"/>
    <n v="1399.95"/>
  </r>
  <r>
    <s v="CA-1091"/>
    <d v="2023-02-16T00:00:00"/>
    <d v="2023-02-18T00:00:00"/>
    <s v="Sunil Patil"/>
    <s v="Consumer"/>
    <s v="Mumbai"/>
    <s v="MP"/>
    <x v="0"/>
    <s v="Binders"/>
    <n v="0"/>
    <n v="9"/>
    <n v="0"/>
    <n v="0.05"/>
    <n v="-0.05"/>
  </r>
  <r>
    <s v="CA-1092"/>
    <d v="2023-02-12T00:00:00"/>
    <d v="2023-02-17T00:00:00"/>
    <s v="Pooja Mehta"/>
    <s v="Consumer"/>
    <s v="Somewhere"/>
    <s v="MH"/>
    <x v="1"/>
    <s v="Laptops"/>
    <n v="17776"/>
    <n v="9"/>
    <n v="159984"/>
    <n v="0"/>
    <n v="159984"/>
  </r>
  <r>
    <s v="CA-1093"/>
    <d v="2023-02-03T00:00:00"/>
    <d v="2023-02-07T00:00:00"/>
    <s v="Neha Singh"/>
    <s v="Consumer"/>
    <s v="Bhopal"/>
    <s v="MH"/>
    <x v="1"/>
    <s v="Phones"/>
    <n v="10619"/>
    <n v="4"/>
    <n v="42476"/>
    <n v="0"/>
    <n v="42476"/>
  </r>
  <r>
    <s v="CA-1094"/>
    <d v="2023-02-28T00:00:00"/>
    <d v="2023-03-05T00:00:00"/>
    <s v="Amit Shah"/>
    <s v="Consumer"/>
    <s v="Pune"/>
    <s v="MH"/>
    <x v="2"/>
    <s v="Chairs"/>
    <n v="53775"/>
    <n v="9"/>
    <n v="483975"/>
    <n v="0.1"/>
    <n v="483974.9"/>
  </r>
  <r>
    <s v="CA-1096"/>
    <d v="2023-01-18T00:00:00"/>
    <d v="2023-01-22T00:00:00"/>
    <s v="Sunil Patil"/>
    <s v="Home Office"/>
    <s v="Ahmedabad"/>
    <s v="GJ"/>
    <x v="1"/>
    <s v="Chairs"/>
    <n v="14971"/>
    <n v="7"/>
    <n v="104797"/>
    <n v="0.2"/>
    <n v="104796.8"/>
  </r>
  <r>
    <s v="CA-1097"/>
    <d v="2023-01-05T00:00:00"/>
    <d v="2023-01-07T00:00:00"/>
    <s v="Ankit Jain"/>
    <s v="Consumer"/>
    <s v="Mumbai"/>
    <s v="MH"/>
    <x v="1"/>
    <s v="Binders"/>
    <n v="0"/>
    <n v="5"/>
    <n v="0"/>
    <n v="0"/>
    <n v="0"/>
  </r>
  <r>
    <s v="CA-1098"/>
    <d v="2023-02-26T00:00:00"/>
    <d v="2023-03-02T00:00:00"/>
    <s v="Sunil Patil"/>
    <s v="Consumer"/>
    <s v="Mumbai"/>
    <s v="NA"/>
    <x v="0"/>
    <s v="Storage"/>
    <n v="34210"/>
    <n v="5"/>
    <n v="171050"/>
    <n v="0.1"/>
    <n v="171049.9"/>
  </r>
  <r>
    <s v="CA-1099"/>
    <d v="2023-02-07T00:00:00"/>
    <d v="2023-02-08T00:00:00"/>
    <s v="Unkown Customer"/>
    <s v="Home Office"/>
    <s v="Pune"/>
    <s v="NA"/>
    <x v="0"/>
    <s v="Binders"/>
    <n v="0"/>
    <n v="7"/>
    <n v="0"/>
    <n v="0"/>
    <n v="0"/>
  </r>
  <r>
    <s v="CA-1100"/>
    <d v="2023-02-21T00:00:00"/>
    <d v="2023-02-27T00:00:00"/>
    <s v="Sunil Patil"/>
    <s v="Home Office"/>
    <s v="Indore"/>
    <s v="NA"/>
    <x v="2"/>
    <s v="Laptops"/>
    <n v="200"/>
    <n v="1"/>
    <n v="200"/>
    <n v="0.2"/>
    <n v="199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d v="2023-01-27T00:00:00"/>
    <s v="Ankit Jain"/>
    <x v="0"/>
    <x v="0"/>
    <x v="0"/>
    <x v="0"/>
    <x v="0"/>
    <x v="0"/>
    <n v="5"/>
    <n v="1000"/>
    <x v="0"/>
    <n v="1000"/>
  </r>
  <r>
    <x v="1"/>
    <x v="1"/>
    <d v="2023-01-15T00:00:00"/>
    <s v="Sunil Patil"/>
    <x v="1"/>
    <x v="1"/>
    <x v="1"/>
    <x v="1"/>
    <x v="1"/>
    <x v="1"/>
    <n v="2"/>
    <n v="41616"/>
    <x v="1"/>
    <n v="41615.9"/>
  </r>
  <r>
    <x v="2"/>
    <x v="2"/>
    <d v="2023-01-07T00:00:00"/>
    <s v="Neha Singh"/>
    <x v="1"/>
    <x v="2"/>
    <x v="2"/>
    <x v="0"/>
    <x v="2"/>
    <x v="0"/>
    <n v="3"/>
    <n v="600"/>
    <x v="0"/>
    <n v="600"/>
  </r>
  <r>
    <x v="3"/>
    <x v="3"/>
    <d v="2023-02-07T00:00:00"/>
    <s v="Amit Shah"/>
    <x v="0"/>
    <x v="3"/>
    <x v="2"/>
    <x v="1"/>
    <x v="0"/>
    <x v="2"/>
    <n v="5"/>
    <n v="221840"/>
    <x v="0"/>
    <n v="221840"/>
  </r>
  <r>
    <x v="4"/>
    <x v="4"/>
    <d v="2023-01-20T00:00:00"/>
    <s v="Unkown Customer"/>
    <x v="1"/>
    <x v="4"/>
    <x v="0"/>
    <x v="1"/>
    <x v="3"/>
    <x v="3"/>
    <n v="10"/>
    <n v="306790"/>
    <x v="2"/>
    <n v="306789.8"/>
  </r>
  <r>
    <x v="5"/>
    <x v="4"/>
    <d v="2023-01-18T00:00:00"/>
    <s v="Ankit Jain"/>
    <x v="2"/>
    <x v="4"/>
    <x v="3"/>
    <x v="1"/>
    <x v="3"/>
    <x v="4"/>
    <n v="9"/>
    <n v="0"/>
    <x v="0"/>
    <n v="0"/>
  </r>
  <r>
    <x v="6"/>
    <x v="5"/>
    <d v="2023-01-19T00:00:00"/>
    <s v="Unkown Customer"/>
    <x v="0"/>
    <x v="4"/>
    <x v="1"/>
    <x v="2"/>
    <x v="0"/>
    <x v="5"/>
    <n v="5"/>
    <n v="18805"/>
    <x v="2"/>
    <n v="18804.8"/>
  </r>
  <r>
    <x v="7"/>
    <x v="6"/>
    <d v="2023-01-28T00:00:00"/>
    <s v="Amit Shah"/>
    <x v="1"/>
    <x v="5"/>
    <x v="1"/>
    <x v="0"/>
    <x v="2"/>
    <x v="6"/>
    <n v="5"/>
    <n v="103780"/>
    <x v="3"/>
    <n v="103779.95"/>
  </r>
  <r>
    <x v="8"/>
    <x v="7"/>
    <d v="2023-03-04T00:00:00"/>
    <s v="Pooja Mehta"/>
    <x v="2"/>
    <x v="4"/>
    <x v="3"/>
    <x v="0"/>
    <x v="1"/>
    <x v="7"/>
    <n v="7"/>
    <n v="291410"/>
    <x v="3"/>
    <n v="291409.95"/>
  </r>
  <r>
    <x v="9"/>
    <x v="8"/>
    <d v="2023-01-25T00:00:00"/>
    <s v="Riya Patel"/>
    <x v="1"/>
    <x v="4"/>
    <x v="3"/>
    <x v="2"/>
    <x v="4"/>
    <x v="8"/>
    <n v="9"/>
    <n v="90261"/>
    <x v="0"/>
    <n v="90261"/>
  </r>
  <r>
    <x v="10"/>
    <x v="9"/>
    <d v="2023-02-03T00:00:00"/>
    <s v="Ankit Jain"/>
    <x v="2"/>
    <x v="5"/>
    <x v="1"/>
    <x v="1"/>
    <x v="0"/>
    <x v="0"/>
    <n v="5"/>
    <n v="1000"/>
    <x v="2"/>
    <n v="999.8"/>
  </r>
  <r>
    <x v="11"/>
    <x v="10"/>
    <d v="2023-01-22T00:00:00"/>
    <s v="Rahul Verma"/>
    <x v="0"/>
    <x v="4"/>
    <x v="3"/>
    <x v="1"/>
    <x v="3"/>
    <x v="9"/>
    <n v="9"/>
    <n v="398952"/>
    <x v="0"/>
    <n v="398952"/>
  </r>
  <r>
    <x v="12"/>
    <x v="11"/>
    <d v="2023-02-24T00:00:00"/>
    <s v="Amit Shah"/>
    <x v="1"/>
    <x v="6"/>
    <x v="3"/>
    <x v="0"/>
    <x v="1"/>
    <x v="4"/>
    <n v="7"/>
    <n v="0"/>
    <x v="1"/>
    <n v="-0.1"/>
  </r>
  <r>
    <x v="13"/>
    <x v="12"/>
    <d v="2023-02-21T00:00:00"/>
    <s v="Pooja Mehta"/>
    <x v="2"/>
    <x v="1"/>
    <x v="1"/>
    <x v="1"/>
    <x v="2"/>
    <x v="10"/>
    <n v="4"/>
    <n v="15024"/>
    <x v="2"/>
    <n v="15023.8"/>
  </r>
  <r>
    <x v="14"/>
    <x v="13"/>
    <d v="2023-01-21T00:00:00"/>
    <s v="Neha Singh"/>
    <x v="1"/>
    <x v="0"/>
    <x v="1"/>
    <x v="2"/>
    <x v="1"/>
    <x v="4"/>
    <n v="2"/>
    <n v="0"/>
    <x v="1"/>
    <n v="-0.1"/>
  </r>
  <r>
    <x v="15"/>
    <x v="14"/>
    <d v="2023-01-08T00:00:00"/>
    <s v="Amit Shah"/>
    <x v="1"/>
    <x v="0"/>
    <x v="4"/>
    <x v="1"/>
    <x v="0"/>
    <x v="0"/>
    <n v="7"/>
    <n v="1400"/>
    <x v="0"/>
    <n v="1400"/>
  </r>
  <r>
    <x v="16"/>
    <x v="15"/>
    <d v="2023-02-06T00:00:00"/>
    <s v="Unkown Customer"/>
    <x v="1"/>
    <x v="4"/>
    <x v="4"/>
    <x v="2"/>
    <x v="4"/>
    <x v="11"/>
    <n v="8"/>
    <n v="138008"/>
    <x v="2"/>
    <n v="138007.79999999999"/>
  </r>
  <r>
    <x v="17"/>
    <x v="3"/>
    <d v="2023-02-07T00:00:00"/>
    <s v="Neha Singh"/>
    <x v="0"/>
    <x v="6"/>
    <x v="4"/>
    <x v="2"/>
    <x v="1"/>
    <x v="4"/>
    <n v="4"/>
    <n v="0"/>
    <x v="0"/>
    <n v="0"/>
  </r>
  <r>
    <x v="18"/>
    <x v="16"/>
    <d v="2023-01-09T00:00:00"/>
    <s v="Ankit Jain"/>
    <x v="0"/>
    <x v="1"/>
    <x v="2"/>
    <x v="2"/>
    <x v="1"/>
    <x v="0"/>
    <n v="6"/>
    <n v="1200"/>
    <x v="2"/>
    <n v="1199.8"/>
  </r>
  <r>
    <x v="19"/>
    <x v="17"/>
    <d v="2023-01-14T00:00:00"/>
    <s v="Sunil Patil"/>
    <x v="1"/>
    <x v="2"/>
    <x v="2"/>
    <x v="2"/>
    <x v="4"/>
    <x v="12"/>
    <n v="2"/>
    <n v="86420"/>
    <x v="2"/>
    <n v="86419.8"/>
  </r>
  <r>
    <x v="20"/>
    <x v="18"/>
    <d v="2023-01-14T00:00:00"/>
    <s v="Neha Singh"/>
    <x v="0"/>
    <x v="3"/>
    <x v="2"/>
    <x v="0"/>
    <x v="1"/>
    <x v="13"/>
    <n v="7"/>
    <n v="287070"/>
    <x v="2"/>
    <n v="287069.8"/>
  </r>
  <r>
    <x v="21"/>
    <x v="13"/>
    <d v="2023-01-18T00:00:00"/>
    <s v="Neha Singh"/>
    <x v="1"/>
    <x v="6"/>
    <x v="4"/>
    <x v="2"/>
    <x v="0"/>
    <x v="4"/>
    <n v="10"/>
    <n v="0"/>
    <x v="1"/>
    <n v="-0.1"/>
  </r>
  <r>
    <x v="22"/>
    <x v="10"/>
    <d v="2023-01-24T00:00:00"/>
    <s v="Riya Patel"/>
    <x v="0"/>
    <x v="4"/>
    <x v="3"/>
    <x v="2"/>
    <x v="4"/>
    <x v="0"/>
    <n v="2"/>
    <n v="400"/>
    <x v="2"/>
    <n v="399.8"/>
  </r>
  <r>
    <x v="23"/>
    <x v="19"/>
    <d v="2023-02-20T00:00:00"/>
    <s v="Neha Singh"/>
    <x v="1"/>
    <x v="4"/>
    <x v="2"/>
    <x v="1"/>
    <x v="3"/>
    <x v="0"/>
    <n v="8"/>
    <n v="1600"/>
    <x v="0"/>
    <n v="1600"/>
  </r>
  <r>
    <x v="24"/>
    <x v="20"/>
    <d v="2023-01-20T00:00:00"/>
    <s v="Rahul Verma"/>
    <x v="0"/>
    <x v="3"/>
    <x v="3"/>
    <x v="2"/>
    <x v="5"/>
    <x v="14"/>
    <n v="2"/>
    <n v="110322"/>
    <x v="0"/>
    <n v="110322"/>
  </r>
  <r>
    <x v="25"/>
    <x v="7"/>
    <d v="2023-03-03T00:00:00"/>
    <s v="Sunil Patil"/>
    <x v="1"/>
    <x v="5"/>
    <x v="0"/>
    <x v="1"/>
    <x v="3"/>
    <x v="0"/>
    <n v="9"/>
    <n v="1800"/>
    <x v="0"/>
    <n v="1800"/>
  </r>
  <r>
    <x v="26"/>
    <x v="21"/>
    <d v="2023-02-05T00:00:00"/>
    <s v="Rahul Verma"/>
    <x v="1"/>
    <x v="1"/>
    <x v="3"/>
    <x v="0"/>
    <x v="4"/>
    <x v="4"/>
    <n v="9"/>
    <n v="0"/>
    <x v="0"/>
    <n v="0"/>
  </r>
  <r>
    <x v="27"/>
    <x v="22"/>
    <d v="2023-03-01T00:00:00"/>
    <s v="Unkown Customer"/>
    <x v="1"/>
    <x v="6"/>
    <x v="1"/>
    <x v="2"/>
    <x v="5"/>
    <x v="15"/>
    <n v="2"/>
    <n v="71266"/>
    <x v="0"/>
    <n v="71266"/>
  </r>
  <r>
    <x v="28"/>
    <x v="23"/>
    <d v="2023-02-12T00:00:00"/>
    <s v="Rahul Verma"/>
    <x v="2"/>
    <x v="2"/>
    <x v="1"/>
    <x v="2"/>
    <x v="0"/>
    <x v="0"/>
    <n v="5"/>
    <n v="1000"/>
    <x v="2"/>
    <n v="999.8"/>
  </r>
  <r>
    <x v="29"/>
    <x v="24"/>
    <d v="2023-03-05T00:00:00"/>
    <s v="Ankit Jain"/>
    <x v="1"/>
    <x v="6"/>
    <x v="3"/>
    <x v="2"/>
    <x v="5"/>
    <x v="0"/>
    <n v="1"/>
    <n v="200"/>
    <x v="0"/>
    <n v="200"/>
  </r>
  <r>
    <x v="30"/>
    <x v="0"/>
    <d v="2023-01-31T00:00:00"/>
    <s v="Ankit Jain"/>
    <x v="1"/>
    <x v="5"/>
    <x v="4"/>
    <x v="2"/>
    <x v="1"/>
    <x v="4"/>
    <n v="8"/>
    <n v="0"/>
    <x v="1"/>
    <n v="-0.1"/>
  </r>
  <r>
    <x v="31"/>
    <x v="25"/>
    <d v="2023-03-02T00:00:00"/>
    <s v="Sunil Patil"/>
    <x v="1"/>
    <x v="0"/>
    <x v="0"/>
    <x v="0"/>
    <x v="1"/>
    <x v="16"/>
    <n v="3"/>
    <n v="67437"/>
    <x v="1"/>
    <n v="67436.899999999994"/>
  </r>
  <r>
    <x v="32"/>
    <x v="17"/>
    <d v="2023-01-17T00:00:00"/>
    <s v="Unkown Customer"/>
    <x v="1"/>
    <x v="0"/>
    <x v="1"/>
    <x v="1"/>
    <x v="4"/>
    <x v="4"/>
    <n v="3"/>
    <n v="0"/>
    <x v="3"/>
    <n v="-0.05"/>
  </r>
  <r>
    <x v="33"/>
    <x v="19"/>
    <d v="2023-02-23T00:00:00"/>
    <s v="Pooja Mehta"/>
    <x v="0"/>
    <x v="5"/>
    <x v="0"/>
    <x v="2"/>
    <x v="5"/>
    <x v="0"/>
    <n v="3"/>
    <n v="600"/>
    <x v="0"/>
    <n v="600"/>
  </r>
  <r>
    <x v="34"/>
    <x v="26"/>
    <d v="2023-02-09T00:00:00"/>
    <s v="Pooja Mehta"/>
    <x v="1"/>
    <x v="4"/>
    <x v="1"/>
    <x v="1"/>
    <x v="5"/>
    <x v="4"/>
    <n v="4"/>
    <n v="0"/>
    <x v="1"/>
    <n v="-0.1"/>
  </r>
  <r>
    <x v="35"/>
    <x v="27"/>
    <d v="2023-02-26T00:00:00"/>
    <s v="Amit Shah"/>
    <x v="2"/>
    <x v="6"/>
    <x v="0"/>
    <x v="2"/>
    <x v="5"/>
    <x v="4"/>
    <n v="5"/>
    <n v="0"/>
    <x v="3"/>
    <n v="-0.05"/>
  </r>
  <r>
    <x v="36"/>
    <x v="28"/>
    <d v="2023-03-04T00:00:00"/>
    <s v="Pooja Mehta"/>
    <x v="0"/>
    <x v="3"/>
    <x v="0"/>
    <x v="2"/>
    <x v="5"/>
    <x v="0"/>
    <n v="3"/>
    <n v="600"/>
    <x v="0"/>
    <n v="600"/>
  </r>
  <r>
    <x v="37"/>
    <x v="29"/>
    <d v="2023-02-04T00:00:00"/>
    <s v="Amit Shah"/>
    <x v="1"/>
    <x v="3"/>
    <x v="3"/>
    <x v="0"/>
    <x v="0"/>
    <x v="4"/>
    <n v="9"/>
    <n v="0"/>
    <x v="3"/>
    <n v="-0.05"/>
  </r>
  <r>
    <x v="38"/>
    <x v="2"/>
    <d v="2023-01-09T00:00:00"/>
    <s v="Ankit Jain"/>
    <x v="2"/>
    <x v="4"/>
    <x v="1"/>
    <x v="2"/>
    <x v="1"/>
    <x v="17"/>
    <n v="3"/>
    <n v="65472"/>
    <x v="0"/>
    <n v="65472"/>
  </r>
  <r>
    <x v="39"/>
    <x v="4"/>
    <d v="2023-01-20T00:00:00"/>
    <s v="Ankit Jain"/>
    <x v="2"/>
    <x v="1"/>
    <x v="4"/>
    <x v="2"/>
    <x v="4"/>
    <x v="4"/>
    <n v="8"/>
    <n v="0"/>
    <x v="1"/>
    <n v="-0.1"/>
  </r>
  <r>
    <x v="40"/>
    <x v="25"/>
    <d v="2023-03-02T00:00:00"/>
    <s v="Riya Patel"/>
    <x v="1"/>
    <x v="1"/>
    <x v="3"/>
    <x v="1"/>
    <x v="4"/>
    <x v="4"/>
    <n v="5"/>
    <n v="0"/>
    <x v="0"/>
    <n v="0"/>
  </r>
  <r>
    <x v="41"/>
    <x v="0"/>
    <d v="2023-02-01T00:00:00"/>
    <s v="Rahul Verma"/>
    <x v="1"/>
    <x v="1"/>
    <x v="0"/>
    <x v="0"/>
    <x v="2"/>
    <x v="4"/>
    <n v="2"/>
    <n v="0"/>
    <x v="1"/>
    <n v="-0.1"/>
  </r>
  <r>
    <x v="42"/>
    <x v="12"/>
    <d v="2023-02-17T00:00:00"/>
    <s v="Neha Singh"/>
    <x v="2"/>
    <x v="4"/>
    <x v="2"/>
    <x v="1"/>
    <x v="1"/>
    <x v="18"/>
    <n v="10"/>
    <n v="218010"/>
    <x v="1"/>
    <n v="218009.9"/>
  </r>
  <r>
    <x v="43"/>
    <x v="11"/>
    <d v="2023-02-23T00:00:00"/>
    <s v="Rahul Verma"/>
    <x v="2"/>
    <x v="0"/>
    <x v="0"/>
    <x v="2"/>
    <x v="2"/>
    <x v="19"/>
    <n v="1"/>
    <n v="56299"/>
    <x v="0"/>
    <n v="56299"/>
  </r>
  <r>
    <x v="44"/>
    <x v="0"/>
    <d v="2023-01-28T00:00:00"/>
    <s v="Rahul Verma"/>
    <x v="0"/>
    <x v="6"/>
    <x v="3"/>
    <x v="0"/>
    <x v="5"/>
    <x v="4"/>
    <n v="7"/>
    <n v="0"/>
    <x v="1"/>
    <n v="-0.1"/>
  </r>
  <r>
    <x v="45"/>
    <x v="27"/>
    <d v="2023-02-22T00:00:00"/>
    <s v="Amit Shah"/>
    <x v="1"/>
    <x v="5"/>
    <x v="0"/>
    <x v="0"/>
    <x v="5"/>
    <x v="4"/>
    <n v="1"/>
    <n v="0"/>
    <x v="3"/>
    <n v="-0.05"/>
  </r>
  <r>
    <x v="46"/>
    <x v="30"/>
    <d v="2023-02-20T00:00:00"/>
    <s v="Rahul Verma"/>
    <x v="2"/>
    <x v="4"/>
    <x v="3"/>
    <x v="0"/>
    <x v="2"/>
    <x v="0"/>
    <n v="10"/>
    <n v="2000"/>
    <x v="0"/>
    <n v="2000"/>
  </r>
  <r>
    <x v="47"/>
    <x v="14"/>
    <d v="2023-01-06T00:00:00"/>
    <s v="Sunil Patil"/>
    <x v="1"/>
    <x v="4"/>
    <x v="0"/>
    <x v="1"/>
    <x v="3"/>
    <x v="20"/>
    <n v="4"/>
    <n v="74876"/>
    <x v="3"/>
    <n v="74875.95"/>
  </r>
  <r>
    <x v="48"/>
    <x v="3"/>
    <d v="2023-02-06T00:00:00"/>
    <s v="Neha Singh"/>
    <x v="2"/>
    <x v="0"/>
    <x v="1"/>
    <x v="0"/>
    <x v="3"/>
    <x v="4"/>
    <n v="10"/>
    <n v="0"/>
    <x v="1"/>
    <n v="-0.1"/>
  </r>
  <r>
    <x v="49"/>
    <x v="31"/>
    <d v="2023-02-17T00:00:00"/>
    <s v="Riya Patel"/>
    <x v="2"/>
    <x v="2"/>
    <x v="2"/>
    <x v="0"/>
    <x v="4"/>
    <x v="21"/>
    <n v="3"/>
    <n v="90471"/>
    <x v="2"/>
    <n v="90470.8"/>
  </r>
  <r>
    <x v="50"/>
    <x v="32"/>
    <d v="2023-01-25T00:00:00"/>
    <s v="Unkown Customer"/>
    <x v="0"/>
    <x v="4"/>
    <x v="0"/>
    <x v="0"/>
    <x v="3"/>
    <x v="4"/>
    <n v="9"/>
    <n v="0"/>
    <x v="0"/>
    <n v="0"/>
  </r>
  <r>
    <x v="51"/>
    <x v="33"/>
    <d v="2023-02-28T00:00:00"/>
    <s v="Pooja Mehta"/>
    <x v="2"/>
    <x v="5"/>
    <x v="4"/>
    <x v="2"/>
    <x v="4"/>
    <x v="22"/>
    <n v="4"/>
    <n v="75560"/>
    <x v="3"/>
    <n v="75559.95"/>
  </r>
  <r>
    <x v="52"/>
    <x v="30"/>
    <d v="2023-02-20T00:00:00"/>
    <s v="Unkown Customer"/>
    <x v="0"/>
    <x v="3"/>
    <x v="1"/>
    <x v="0"/>
    <x v="1"/>
    <x v="4"/>
    <n v="10"/>
    <n v="0"/>
    <x v="1"/>
    <n v="-0.1"/>
  </r>
  <r>
    <x v="53"/>
    <x v="5"/>
    <d v="2023-01-22T00:00:00"/>
    <s v="Riya Patel"/>
    <x v="1"/>
    <x v="3"/>
    <x v="1"/>
    <x v="0"/>
    <x v="0"/>
    <x v="0"/>
    <n v="7"/>
    <n v="1400"/>
    <x v="0"/>
    <n v="1400"/>
  </r>
  <r>
    <x v="54"/>
    <x v="11"/>
    <d v="2023-02-20T00:00:00"/>
    <s v="Amit Shah"/>
    <x v="0"/>
    <x v="4"/>
    <x v="0"/>
    <x v="1"/>
    <x v="4"/>
    <x v="0"/>
    <n v="1"/>
    <n v="200"/>
    <x v="3"/>
    <n v="199.95"/>
  </r>
  <r>
    <x v="55"/>
    <x v="34"/>
    <d v="2023-01-10T00:00:00"/>
    <s v="Rahul Verma"/>
    <x v="1"/>
    <x v="2"/>
    <x v="4"/>
    <x v="0"/>
    <x v="1"/>
    <x v="23"/>
    <n v="3"/>
    <n v="49392"/>
    <x v="3"/>
    <n v="49391.95"/>
  </r>
  <r>
    <x v="56"/>
    <x v="35"/>
    <d v="2023-01-30T00:00:00"/>
    <s v="Pooja Mehta"/>
    <x v="1"/>
    <x v="2"/>
    <x v="3"/>
    <x v="2"/>
    <x v="1"/>
    <x v="24"/>
    <n v="1"/>
    <n v="55497"/>
    <x v="0"/>
    <n v="55497"/>
  </r>
  <r>
    <x v="57"/>
    <x v="1"/>
    <d v="2023-01-12T00:00:00"/>
    <s v="Amit Shah"/>
    <x v="2"/>
    <x v="1"/>
    <x v="4"/>
    <x v="2"/>
    <x v="2"/>
    <x v="0"/>
    <n v="3"/>
    <n v="600"/>
    <x v="0"/>
    <n v="600"/>
  </r>
  <r>
    <x v="58"/>
    <x v="24"/>
    <d v="2023-03-06T00:00:00"/>
    <s v="Amit Shah"/>
    <x v="2"/>
    <x v="1"/>
    <x v="2"/>
    <x v="1"/>
    <x v="4"/>
    <x v="4"/>
    <n v="8"/>
    <n v="0"/>
    <x v="0"/>
    <n v="0"/>
  </r>
  <r>
    <x v="59"/>
    <x v="2"/>
    <d v="2023-01-03T00:00:00"/>
    <s v="Unkown Customer"/>
    <x v="0"/>
    <x v="5"/>
    <x v="4"/>
    <x v="2"/>
    <x v="1"/>
    <x v="4"/>
    <n v="9"/>
    <n v="0"/>
    <x v="0"/>
    <n v="0"/>
  </r>
  <r>
    <x v="60"/>
    <x v="27"/>
    <d v="2023-02-25T00:00:00"/>
    <s v="Unkown Customer"/>
    <x v="1"/>
    <x v="4"/>
    <x v="1"/>
    <x v="2"/>
    <x v="5"/>
    <x v="4"/>
    <n v="2"/>
    <n v="0"/>
    <x v="1"/>
    <n v="-0.1"/>
  </r>
  <r>
    <x v="61"/>
    <x v="23"/>
    <d v="2023-02-15T00:00:00"/>
    <s v="Sunil Patil"/>
    <x v="0"/>
    <x v="2"/>
    <x v="0"/>
    <x v="0"/>
    <x v="3"/>
    <x v="0"/>
    <n v="3"/>
    <n v="600"/>
    <x v="0"/>
    <n v="600"/>
  </r>
  <r>
    <x v="62"/>
    <x v="21"/>
    <d v="2023-01-31T00:00:00"/>
    <s v="Rahul Verma"/>
    <x v="1"/>
    <x v="0"/>
    <x v="0"/>
    <x v="0"/>
    <x v="4"/>
    <x v="0"/>
    <n v="7"/>
    <n v="1400"/>
    <x v="1"/>
    <n v="1399.9"/>
  </r>
  <r>
    <x v="63"/>
    <x v="36"/>
    <d v="2023-01-26T00:00:00"/>
    <s v="Pooja Mehta"/>
    <x v="0"/>
    <x v="4"/>
    <x v="4"/>
    <x v="1"/>
    <x v="0"/>
    <x v="4"/>
    <n v="6"/>
    <n v="0"/>
    <x v="3"/>
    <n v="-0.05"/>
  </r>
  <r>
    <x v="64"/>
    <x v="2"/>
    <d v="2023-01-06T00:00:00"/>
    <s v="Amit Shah"/>
    <x v="1"/>
    <x v="5"/>
    <x v="4"/>
    <x v="2"/>
    <x v="0"/>
    <x v="25"/>
    <n v="10"/>
    <n v="236110"/>
    <x v="2"/>
    <n v="236109.8"/>
  </r>
  <r>
    <x v="65"/>
    <x v="26"/>
    <d v="2023-02-13T00:00:00"/>
    <s v="Sunil Patil"/>
    <x v="1"/>
    <x v="3"/>
    <x v="2"/>
    <x v="1"/>
    <x v="4"/>
    <x v="0"/>
    <n v="4"/>
    <n v="800"/>
    <x v="0"/>
    <n v="800"/>
  </r>
  <r>
    <x v="66"/>
    <x v="25"/>
    <d v="2023-03-04T00:00:00"/>
    <s v="Sunil Patil"/>
    <x v="0"/>
    <x v="4"/>
    <x v="4"/>
    <x v="1"/>
    <x v="4"/>
    <x v="0"/>
    <n v="5"/>
    <n v="1000"/>
    <x v="1"/>
    <n v="999.9"/>
  </r>
  <r>
    <x v="67"/>
    <x v="37"/>
    <d v="2023-01-24T00:00:00"/>
    <s v="Neha Singh"/>
    <x v="0"/>
    <x v="4"/>
    <x v="0"/>
    <x v="1"/>
    <x v="2"/>
    <x v="4"/>
    <n v="7"/>
    <n v="0"/>
    <x v="0"/>
    <n v="0"/>
  </r>
  <r>
    <x v="68"/>
    <x v="36"/>
    <d v="2023-01-30T00:00:00"/>
    <s v="Unkown Customer"/>
    <x v="2"/>
    <x v="5"/>
    <x v="0"/>
    <x v="1"/>
    <x v="0"/>
    <x v="4"/>
    <n v="6"/>
    <n v="0"/>
    <x v="3"/>
    <n v="-0.05"/>
  </r>
  <r>
    <x v="69"/>
    <x v="38"/>
    <d v="2023-01-14T00:00:00"/>
    <s v="Rahul Verma"/>
    <x v="0"/>
    <x v="0"/>
    <x v="2"/>
    <x v="2"/>
    <x v="0"/>
    <x v="0"/>
    <n v="7"/>
    <n v="1400"/>
    <x v="3"/>
    <n v="1399.95"/>
  </r>
  <r>
    <x v="70"/>
    <x v="31"/>
    <d v="2023-02-18T00:00:00"/>
    <s v="Sunil Patil"/>
    <x v="2"/>
    <x v="4"/>
    <x v="0"/>
    <x v="0"/>
    <x v="4"/>
    <x v="4"/>
    <n v="9"/>
    <n v="0"/>
    <x v="3"/>
    <n v="-0.05"/>
  </r>
  <r>
    <x v="71"/>
    <x v="39"/>
    <d v="2023-02-17T00:00:00"/>
    <s v="Pooja Mehta"/>
    <x v="2"/>
    <x v="5"/>
    <x v="4"/>
    <x v="1"/>
    <x v="3"/>
    <x v="26"/>
    <n v="9"/>
    <n v="159984"/>
    <x v="0"/>
    <n v="159984"/>
  </r>
  <r>
    <x v="72"/>
    <x v="15"/>
    <d v="2023-02-07T00:00:00"/>
    <s v="Neha Singh"/>
    <x v="2"/>
    <x v="0"/>
    <x v="4"/>
    <x v="1"/>
    <x v="1"/>
    <x v="27"/>
    <n v="4"/>
    <n v="42476"/>
    <x v="0"/>
    <n v="42476"/>
  </r>
  <r>
    <x v="73"/>
    <x v="25"/>
    <d v="2023-03-05T00:00:00"/>
    <s v="Amit Shah"/>
    <x v="2"/>
    <x v="1"/>
    <x v="4"/>
    <x v="2"/>
    <x v="2"/>
    <x v="28"/>
    <n v="9"/>
    <n v="483975"/>
    <x v="1"/>
    <n v="483974.9"/>
  </r>
  <r>
    <x v="74"/>
    <x v="37"/>
    <d v="2023-01-22T00:00:00"/>
    <s v="Sunil Patil"/>
    <x v="0"/>
    <x v="2"/>
    <x v="1"/>
    <x v="1"/>
    <x v="2"/>
    <x v="29"/>
    <n v="7"/>
    <n v="104797"/>
    <x v="2"/>
    <n v="104796.8"/>
  </r>
  <r>
    <x v="75"/>
    <x v="34"/>
    <d v="2023-01-07T00:00:00"/>
    <s v="Ankit Jain"/>
    <x v="2"/>
    <x v="4"/>
    <x v="4"/>
    <x v="1"/>
    <x v="4"/>
    <x v="4"/>
    <n v="5"/>
    <n v="0"/>
    <x v="0"/>
    <n v="0"/>
  </r>
  <r>
    <x v="76"/>
    <x v="33"/>
    <d v="2023-03-02T00:00:00"/>
    <s v="Sunil Patil"/>
    <x v="2"/>
    <x v="4"/>
    <x v="3"/>
    <x v="0"/>
    <x v="5"/>
    <x v="30"/>
    <n v="5"/>
    <n v="171050"/>
    <x v="1"/>
    <n v="171049.9"/>
  </r>
  <r>
    <x v="77"/>
    <x v="26"/>
    <d v="2023-02-08T00:00:00"/>
    <s v="Unkown Customer"/>
    <x v="0"/>
    <x v="1"/>
    <x v="3"/>
    <x v="0"/>
    <x v="4"/>
    <x v="4"/>
    <n v="7"/>
    <n v="0"/>
    <x v="0"/>
    <n v="0"/>
  </r>
  <r>
    <x v="78"/>
    <x v="40"/>
    <d v="2023-02-27T00:00:00"/>
    <s v="Sunil Patil"/>
    <x v="0"/>
    <x v="3"/>
    <x v="3"/>
    <x v="2"/>
    <x v="3"/>
    <x v="0"/>
    <n v="1"/>
    <n v="200"/>
    <x v="2"/>
    <n v="199.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d v="2023-01-27T00:00:00"/>
    <s v="Ankit Jain"/>
    <x v="0"/>
    <x v="0"/>
    <s v="MP"/>
    <s v="Office Supplies"/>
    <s v="Tables"/>
    <n v="200"/>
    <n v="5"/>
    <n v="1000"/>
    <n v="0"/>
    <n v="1000"/>
    <n v="2"/>
  </r>
  <r>
    <x v="1"/>
    <x v="1"/>
    <d v="2023-01-15T00:00:00"/>
    <s v="Sunil Patil"/>
    <x v="1"/>
    <x v="1"/>
    <s v="GJ"/>
    <s v="Furniture"/>
    <s v="Phones"/>
    <n v="20808"/>
    <n v="2"/>
    <n v="41616"/>
    <n v="0.1"/>
    <n v="41615.9"/>
    <n v="6"/>
  </r>
  <r>
    <x v="2"/>
    <x v="2"/>
    <d v="2023-01-07T00:00:00"/>
    <s v="Neha Singh"/>
    <x v="1"/>
    <x v="2"/>
    <s v="DL"/>
    <s v="Office Supplies"/>
    <s v="Chairs"/>
    <n v="200"/>
    <n v="3"/>
    <n v="600"/>
    <n v="0"/>
    <n v="600"/>
    <n v="5"/>
  </r>
  <r>
    <x v="3"/>
    <x v="3"/>
    <d v="2023-02-07T00:00:00"/>
    <s v="Amit Shah"/>
    <x v="0"/>
    <x v="3"/>
    <s v="DL"/>
    <s v="Furniture"/>
    <s v="Tables"/>
    <n v="44368"/>
    <n v="5"/>
    <n v="221840"/>
    <n v="0"/>
    <n v="221840"/>
    <n v="5"/>
  </r>
  <r>
    <x v="4"/>
    <x v="4"/>
    <d v="2023-01-20T00:00:00"/>
    <s v="Unkown Customer"/>
    <x v="1"/>
    <x v="4"/>
    <s v="MP"/>
    <s v="Furniture"/>
    <s v="Laptops"/>
    <n v="30679"/>
    <n v="10"/>
    <n v="306790"/>
    <n v="0.2"/>
    <n v="306789.8"/>
    <n v="3"/>
  </r>
  <r>
    <x v="5"/>
    <x v="4"/>
    <d v="2023-01-18T00:00:00"/>
    <s v="Ankit Jain"/>
    <x v="2"/>
    <x v="4"/>
    <s v="NA"/>
    <s v="Furniture"/>
    <s v="Laptops"/>
    <n v="0"/>
    <n v="9"/>
    <n v="0"/>
    <n v="0"/>
    <n v="0"/>
    <n v="1"/>
  </r>
  <r>
    <x v="6"/>
    <x v="5"/>
    <d v="2023-01-19T00:00:00"/>
    <s v="Unkown Customer"/>
    <x v="0"/>
    <x v="4"/>
    <s v="GJ"/>
    <s v="Technology"/>
    <s v="Tables"/>
    <n v="3761"/>
    <n v="5"/>
    <n v="18805"/>
    <n v="0.2"/>
    <n v="18804.8"/>
    <n v="4"/>
  </r>
  <r>
    <x v="7"/>
    <x v="6"/>
    <d v="2023-01-28T00:00:00"/>
    <s v="Amit Shah"/>
    <x v="1"/>
    <x v="5"/>
    <s v="GJ"/>
    <s v="Office Supplies"/>
    <s v="Chairs"/>
    <n v="20756"/>
    <n v="5"/>
    <n v="103780"/>
    <n v="0.05"/>
    <n v="103779.95"/>
    <n v="6"/>
  </r>
  <r>
    <x v="8"/>
    <x v="7"/>
    <d v="2023-03-04T00:00:00"/>
    <s v="Pooja Mehta"/>
    <x v="2"/>
    <x v="4"/>
    <s v="NA"/>
    <s v="Office Supplies"/>
    <s v="Phones"/>
    <n v="41630"/>
    <n v="7"/>
    <n v="291410"/>
    <n v="0.05"/>
    <n v="291409.95"/>
    <n v="7"/>
  </r>
  <r>
    <x v="9"/>
    <x v="8"/>
    <d v="2023-01-25T00:00:00"/>
    <s v="Riya Patel"/>
    <x v="1"/>
    <x v="4"/>
    <s v="NA"/>
    <s v="Technology"/>
    <s v="Binders"/>
    <n v="10029"/>
    <n v="9"/>
    <n v="90261"/>
    <n v="0"/>
    <n v="90261"/>
    <n v="4"/>
  </r>
  <r>
    <x v="10"/>
    <x v="9"/>
    <d v="2023-02-03T00:00:00"/>
    <s v="Ankit Jain"/>
    <x v="2"/>
    <x v="5"/>
    <s v="GJ"/>
    <s v="Furniture"/>
    <s v="Tables"/>
    <n v="200"/>
    <n v="5"/>
    <n v="1000"/>
    <n v="0.2"/>
    <n v="999.8"/>
    <n v="7"/>
  </r>
  <r>
    <x v="11"/>
    <x v="10"/>
    <d v="2023-01-22T00:00:00"/>
    <s v="Rahul Verma"/>
    <x v="0"/>
    <x v="4"/>
    <s v="NA"/>
    <s v="Furniture"/>
    <s v="Laptops"/>
    <n v="44328"/>
    <n v="9"/>
    <n v="398952"/>
    <n v="0"/>
    <n v="398952"/>
    <n v="2"/>
  </r>
  <r>
    <x v="12"/>
    <x v="11"/>
    <d v="2023-02-24T00:00:00"/>
    <s v="Amit Shah"/>
    <x v="1"/>
    <x v="6"/>
    <s v="NA"/>
    <s v="Office Supplies"/>
    <s v="Phones"/>
    <n v="0"/>
    <n v="7"/>
    <n v="0"/>
    <n v="0.1"/>
    <n v="-0.1"/>
    <n v="6"/>
  </r>
  <r>
    <x v="13"/>
    <x v="12"/>
    <d v="2023-02-21T00:00:00"/>
    <s v="Pooja Mehta"/>
    <x v="2"/>
    <x v="1"/>
    <s v="GJ"/>
    <s v="Furniture"/>
    <s v="Chairs"/>
    <n v="3756"/>
    <n v="4"/>
    <n v="15024"/>
    <n v="0.2"/>
    <n v="15023.8"/>
    <n v="7"/>
  </r>
  <r>
    <x v="14"/>
    <x v="13"/>
    <d v="2023-01-21T00:00:00"/>
    <s v="Neha Singh"/>
    <x v="1"/>
    <x v="0"/>
    <s v="GJ"/>
    <s v="Technology"/>
    <s v="Phones"/>
    <n v="0"/>
    <n v="2"/>
    <n v="0"/>
    <n v="0.1"/>
    <n v="-0.1"/>
    <n v="5"/>
  </r>
  <r>
    <x v="15"/>
    <x v="14"/>
    <d v="2023-01-08T00:00:00"/>
    <s v="Amit Shah"/>
    <x v="1"/>
    <x v="0"/>
    <s v="MH"/>
    <s v="Furniture"/>
    <s v="Tables"/>
    <n v="200"/>
    <n v="7"/>
    <n v="1400"/>
    <n v="0"/>
    <n v="1400"/>
    <n v="7"/>
  </r>
  <r>
    <x v="16"/>
    <x v="15"/>
    <d v="2023-02-06T00:00:00"/>
    <s v="Unkown Customer"/>
    <x v="1"/>
    <x v="4"/>
    <s v="MH"/>
    <s v="Technology"/>
    <s v="Binders"/>
    <n v="17251"/>
    <n v="8"/>
    <n v="138008"/>
    <n v="0.2"/>
    <n v="138007.79999999999"/>
    <n v="3"/>
  </r>
  <r>
    <x v="17"/>
    <x v="3"/>
    <d v="2023-02-07T00:00:00"/>
    <s v="Neha Singh"/>
    <x v="0"/>
    <x v="6"/>
    <s v="MH"/>
    <s v="Technology"/>
    <s v="Phones"/>
    <n v="0"/>
    <n v="4"/>
    <n v="0"/>
    <n v="0"/>
    <n v="0"/>
    <n v="5"/>
  </r>
  <r>
    <x v="18"/>
    <x v="16"/>
    <d v="2023-01-09T00:00:00"/>
    <s v="Ankit Jain"/>
    <x v="0"/>
    <x v="1"/>
    <s v="DL"/>
    <s v="Technology"/>
    <s v="Phones"/>
    <n v="200"/>
    <n v="6"/>
    <n v="1200"/>
    <n v="0.2"/>
    <n v="1199.8"/>
    <n v="6"/>
  </r>
  <r>
    <x v="19"/>
    <x v="17"/>
    <d v="2023-01-14T00:00:00"/>
    <s v="Sunil Patil"/>
    <x v="1"/>
    <x v="2"/>
    <s v="DL"/>
    <s v="Technology"/>
    <s v="Binders"/>
    <n v="43210"/>
    <n v="2"/>
    <n v="86420"/>
    <n v="0.2"/>
    <n v="86419.8"/>
    <n v="1"/>
  </r>
  <r>
    <x v="20"/>
    <x v="18"/>
    <d v="2023-01-14T00:00:00"/>
    <s v="Neha Singh"/>
    <x v="0"/>
    <x v="3"/>
    <s v="DL"/>
    <s v="Office Supplies"/>
    <s v="Phones"/>
    <n v="41010"/>
    <n v="7"/>
    <n v="287070"/>
    <n v="0.2"/>
    <n v="287069.8"/>
    <n v="7"/>
  </r>
  <r>
    <x v="21"/>
    <x v="13"/>
    <d v="2023-01-18T00:00:00"/>
    <s v="Neha Singh"/>
    <x v="1"/>
    <x v="6"/>
    <s v="MH"/>
    <s v="Technology"/>
    <s v="Tables"/>
    <n v="0"/>
    <n v="10"/>
    <n v="0"/>
    <n v="0.1"/>
    <n v="-0.1"/>
    <n v="2"/>
  </r>
  <r>
    <x v="22"/>
    <x v="10"/>
    <d v="2023-01-24T00:00:00"/>
    <s v="Riya Patel"/>
    <x v="0"/>
    <x v="4"/>
    <s v="NA"/>
    <s v="Technology"/>
    <s v="Binders"/>
    <n v="200"/>
    <n v="2"/>
    <n v="400"/>
    <n v="0.2"/>
    <n v="399.8"/>
    <n v="4"/>
  </r>
  <r>
    <x v="23"/>
    <x v="19"/>
    <d v="2023-02-20T00:00:00"/>
    <s v="Neha Singh"/>
    <x v="1"/>
    <x v="4"/>
    <s v="DL"/>
    <s v="Furniture"/>
    <s v="Laptops"/>
    <n v="200"/>
    <n v="8"/>
    <n v="1600"/>
    <n v="0"/>
    <n v="1600"/>
    <n v="1"/>
  </r>
  <r>
    <x v="24"/>
    <x v="20"/>
    <d v="2023-01-20T00:00:00"/>
    <s v="Rahul Verma"/>
    <x v="0"/>
    <x v="3"/>
    <s v="NA"/>
    <s v="Technology"/>
    <s v="Storage"/>
    <n v="55161"/>
    <n v="2"/>
    <n v="110322"/>
    <n v="0"/>
    <n v="110322"/>
    <n v="1"/>
  </r>
  <r>
    <x v="25"/>
    <x v="7"/>
    <d v="2023-03-03T00:00:00"/>
    <s v="Sunil Patil"/>
    <x v="1"/>
    <x v="5"/>
    <s v="MP"/>
    <s v="Furniture"/>
    <s v="Laptops"/>
    <n v="200"/>
    <n v="9"/>
    <n v="1800"/>
    <n v="0"/>
    <n v="1800"/>
    <n v="6"/>
  </r>
  <r>
    <x v="26"/>
    <x v="21"/>
    <d v="2023-02-05T00:00:00"/>
    <s v="Rahul Verma"/>
    <x v="1"/>
    <x v="1"/>
    <s v="NA"/>
    <s v="Office Supplies"/>
    <s v="Binders"/>
    <n v="0"/>
    <n v="9"/>
    <n v="0"/>
    <n v="0"/>
    <n v="0"/>
    <n v="6"/>
  </r>
  <r>
    <x v="27"/>
    <x v="22"/>
    <d v="2023-03-01T00:00:00"/>
    <s v="Unkown Customer"/>
    <x v="1"/>
    <x v="6"/>
    <s v="GJ"/>
    <s v="Technology"/>
    <s v="Storage"/>
    <n v="35633"/>
    <n v="2"/>
    <n v="71266"/>
    <n v="0"/>
    <n v="71266"/>
    <n v="7"/>
  </r>
  <r>
    <x v="28"/>
    <x v="23"/>
    <d v="2023-02-12T00:00:00"/>
    <s v="Rahul Verma"/>
    <x v="2"/>
    <x v="2"/>
    <s v="GJ"/>
    <s v="Technology"/>
    <s v="Tables"/>
    <n v="200"/>
    <n v="5"/>
    <n v="1000"/>
    <n v="0.2"/>
    <n v="999.8"/>
    <n v="2"/>
  </r>
  <r>
    <x v="29"/>
    <x v="24"/>
    <d v="2023-03-05T00:00:00"/>
    <s v="Ankit Jain"/>
    <x v="1"/>
    <x v="6"/>
    <s v="NA"/>
    <s v="Technology"/>
    <s v="Storage"/>
    <n v="200"/>
    <n v="1"/>
    <n v="200"/>
    <n v="0"/>
    <n v="200"/>
    <n v="4"/>
  </r>
  <r>
    <x v="30"/>
    <x v="0"/>
    <d v="2023-01-31T00:00:00"/>
    <s v="Ankit Jain"/>
    <x v="1"/>
    <x v="5"/>
    <s v="MH"/>
    <s v="Technology"/>
    <s v="Phones"/>
    <n v="0"/>
    <n v="8"/>
    <n v="0"/>
    <n v="0.1"/>
    <n v="-0.1"/>
    <n v="6"/>
  </r>
  <r>
    <x v="31"/>
    <x v="25"/>
    <d v="2023-03-02T00:00:00"/>
    <s v="Sunil Patil"/>
    <x v="1"/>
    <x v="0"/>
    <s v="MP"/>
    <s v="Office Supplies"/>
    <s v="Phones"/>
    <n v="22479"/>
    <n v="3"/>
    <n v="67437"/>
    <n v="0.1"/>
    <n v="67436.899999999994"/>
    <n v="2"/>
  </r>
  <r>
    <x v="32"/>
    <x v="17"/>
    <d v="2023-01-17T00:00:00"/>
    <s v="Unkown Customer"/>
    <x v="1"/>
    <x v="0"/>
    <s v="GJ"/>
    <s v="Furniture"/>
    <s v="Binders"/>
    <n v="0"/>
    <n v="3"/>
    <n v="0"/>
    <n v="0.05"/>
    <n v="-0.05"/>
    <n v="4"/>
  </r>
  <r>
    <x v="33"/>
    <x v="19"/>
    <d v="2023-02-23T00:00:00"/>
    <s v="Pooja Mehta"/>
    <x v="0"/>
    <x v="5"/>
    <s v="MP"/>
    <s v="Technology"/>
    <s v="Storage"/>
    <n v="200"/>
    <n v="3"/>
    <n v="600"/>
    <n v="0"/>
    <n v="600"/>
    <n v="4"/>
  </r>
  <r>
    <x v="34"/>
    <x v="26"/>
    <d v="2023-02-09T00:00:00"/>
    <s v="Pooja Mehta"/>
    <x v="1"/>
    <x v="4"/>
    <s v="GJ"/>
    <s v="Furniture"/>
    <s v="Storage"/>
    <n v="0"/>
    <n v="4"/>
    <n v="0"/>
    <n v="0.1"/>
    <n v="-0.1"/>
    <n v="2"/>
  </r>
  <r>
    <x v="35"/>
    <x v="27"/>
    <d v="2023-02-26T00:00:00"/>
    <s v="Amit Shah"/>
    <x v="2"/>
    <x v="6"/>
    <s v="MP"/>
    <s v="Technology"/>
    <s v="Storage"/>
    <n v="0"/>
    <n v="5"/>
    <n v="0"/>
    <n v="0.05"/>
    <n v="-0.05"/>
    <n v="6"/>
  </r>
  <r>
    <x v="36"/>
    <x v="28"/>
    <d v="2023-03-04T00:00:00"/>
    <s v="Pooja Mehta"/>
    <x v="0"/>
    <x v="3"/>
    <s v="MP"/>
    <s v="Technology"/>
    <s v="Storage"/>
    <n v="200"/>
    <n v="3"/>
    <n v="600"/>
    <n v="0"/>
    <n v="600"/>
    <n v="5"/>
  </r>
  <r>
    <x v="37"/>
    <x v="29"/>
    <d v="2023-02-04T00:00:00"/>
    <s v="Amit Shah"/>
    <x v="1"/>
    <x v="3"/>
    <s v="NA"/>
    <s v="Office Supplies"/>
    <s v="Tables"/>
    <n v="0"/>
    <n v="9"/>
    <n v="0"/>
    <n v="0.05"/>
    <n v="-0.05"/>
    <n v="3"/>
  </r>
  <r>
    <x v="38"/>
    <x v="2"/>
    <d v="2023-01-09T00:00:00"/>
    <s v="Ankit Jain"/>
    <x v="2"/>
    <x v="4"/>
    <s v="GJ"/>
    <s v="Technology"/>
    <s v="Phones"/>
    <n v="21824"/>
    <n v="3"/>
    <n v="65472"/>
    <n v="0"/>
    <n v="65472"/>
    <n v="7"/>
  </r>
  <r>
    <x v="39"/>
    <x v="4"/>
    <d v="2023-01-20T00:00:00"/>
    <s v="Ankit Jain"/>
    <x v="2"/>
    <x v="1"/>
    <s v="MH"/>
    <s v="Technology"/>
    <s v="Binders"/>
    <n v="0"/>
    <n v="8"/>
    <n v="0"/>
    <n v="0.1"/>
    <n v="-0.1"/>
    <n v="3"/>
  </r>
  <r>
    <x v="40"/>
    <x v="25"/>
    <d v="2023-03-02T00:00:00"/>
    <s v="Riya Patel"/>
    <x v="1"/>
    <x v="1"/>
    <s v="NA"/>
    <s v="Furniture"/>
    <s v="Binders"/>
    <n v="0"/>
    <n v="5"/>
    <n v="0"/>
    <n v="0"/>
    <n v="0"/>
    <n v="2"/>
  </r>
  <r>
    <x v="41"/>
    <x v="0"/>
    <d v="2023-02-01T00:00:00"/>
    <s v="Rahul Verma"/>
    <x v="1"/>
    <x v="1"/>
    <s v="MP"/>
    <s v="Office Supplies"/>
    <s v="Chairs"/>
    <n v="0"/>
    <n v="2"/>
    <n v="0"/>
    <n v="0.1"/>
    <n v="-0.1"/>
    <n v="7"/>
  </r>
  <r>
    <x v="42"/>
    <x v="12"/>
    <d v="2023-02-17T00:00:00"/>
    <s v="Neha Singh"/>
    <x v="2"/>
    <x v="4"/>
    <s v="DL"/>
    <s v="Furniture"/>
    <s v="Phones"/>
    <n v="21801"/>
    <n v="10"/>
    <n v="218010"/>
    <n v="0.1"/>
    <n v="218009.9"/>
    <n v="3"/>
  </r>
  <r>
    <x v="43"/>
    <x v="11"/>
    <d v="2023-02-23T00:00:00"/>
    <s v="Rahul Verma"/>
    <x v="2"/>
    <x v="0"/>
    <s v="MP"/>
    <s v="Technology"/>
    <s v="Chairs"/>
    <n v="56299"/>
    <n v="1"/>
    <n v="56299"/>
    <n v="0"/>
    <n v="56299"/>
    <n v="5"/>
  </r>
  <r>
    <x v="44"/>
    <x v="0"/>
    <d v="2023-01-28T00:00:00"/>
    <s v="Rahul Verma"/>
    <x v="0"/>
    <x v="6"/>
    <s v="NA"/>
    <s v="Office Supplies"/>
    <s v="Storage"/>
    <n v="0"/>
    <n v="7"/>
    <n v="0"/>
    <n v="0.1"/>
    <n v="-0.1"/>
    <n v="3"/>
  </r>
  <r>
    <x v="45"/>
    <x v="27"/>
    <d v="2023-02-22T00:00:00"/>
    <s v="Amit Shah"/>
    <x v="1"/>
    <x v="5"/>
    <s v="MP"/>
    <s v="Office Supplies"/>
    <s v="Storage"/>
    <n v="0"/>
    <n v="1"/>
    <n v="0"/>
    <n v="0.05"/>
    <n v="-0.05"/>
    <n v="2"/>
  </r>
  <r>
    <x v="46"/>
    <x v="30"/>
    <d v="2023-02-20T00:00:00"/>
    <s v="Rahul Verma"/>
    <x v="2"/>
    <x v="4"/>
    <s v="NA"/>
    <s v="Office Supplies"/>
    <s v="Chairs"/>
    <n v="200"/>
    <n v="10"/>
    <n v="2000"/>
    <n v="0"/>
    <n v="2000"/>
    <n v="5"/>
  </r>
  <r>
    <x v="47"/>
    <x v="14"/>
    <d v="2023-01-06T00:00:00"/>
    <s v="Sunil Patil"/>
    <x v="1"/>
    <x v="4"/>
    <s v="MP"/>
    <s v="Furniture"/>
    <s v="Laptops"/>
    <n v="18719"/>
    <n v="4"/>
    <n v="74876"/>
    <n v="0.05"/>
    <n v="74875.95"/>
    <n v="5"/>
  </r>
  <r>
    <x v="48"/>
    <x v="3"/>
    <d v="2023-02-06T00:00:00"/>
    <s v="Neha Singh"/>
    <x v="2"/>
    <x v="0"/>
    <s v="GJ"/>
    <s v="Office Supplies"/>
    <s v="Laptops"/>
    <n v="0"/>
    <n v="10"/>
    <n v="0"/>
    <n v="0.1"/>
    <n v="-0.1"/>
    <n v="4"/>
  </r>
  <r>
    <x v="49"/>
    <x v="31"/>
    <d v="2023-02-17T00:00:00"/>
    <s v="Riya Patel"/>
    <x v="2"/>
    <x v="2"/>
    <s v="DL"/>
    <s v="Office Supplies"/>
    <s v="Binders"/>
    <n v="30157"/>
    <n v="3"/>
    <n v="90471"/>
    <n v="0.2"/>
    <n v="90470.8"/>
    <n v="1"/>
  </r>
  <r>
    <x v="50"/>
    <x v="32"/>
    <d v="2023-01-25T00:00:00"/>
    <s v="Unkown Customer"/>
    <x v="0"/>
    <x v="4"/>
    <s v="MP"/>
    <s v="Office Supplies"/>
    <s v="Laptops"/>
    <n v="0"/>
    <n v="9"/>
    <n v="0"/>
    <n v="0"/>
    <n v="0"/>
    <n v="1"/>
  </r>
  <r>
    <x v="51"/>
    <x v="33"/>
    <d v="2023-02-28T00:00:00"/>
    <s v="Pooja Mehta"/>
    <x v="2"/>
    <x v="5"/>
    <s v="MH"/>
    <s v="Technology"/>
    <s v="Binders"/>
    <n v="18890"/>
    <n v="4"/>
    <n v="75560"/>
    <n v="0.05"/>
    <n v="75559.95"/>
    <n v="2"/>
  </r>
  <r>
    <x v="52"/>
    <x v="30"/>
    <d v="2023-02-20T00:00:00"/>
    <s v="Unkown Customer"/>
    <x v="0"/>
    <x v="3"/>
    <s v="GJ"/>
    <s v="Office Supplies"/>
    <s v="Phones"/>
    <n v="0"/>
    <n v="10"/>
    <n v="0"/>
    <n v="0.1"/>
    <n v="-0.1"/>
    <n v="5"/>
  </r>
  <r>
    <x v="53"/>
    <x v="5"/>
    <d v="2023-01-22T00:00:00"/>
    <s v="Riya Patel"/>
    <x v="1"/>
    <x v="3"/>
    <s v="GJ"/>
    <s v="Office Supplies"/>
    <s v="Tables"/>
    <n v="200"/>
    <n v="7"/>
    <n v="1400"/>
    <n v="0"/>
    <n v="1400"/>
    <n v="7"/>
  </r>
  <r>
    <x v="54"/>
    <x v="11"/>
    <d v="2023-02-20T00:00:00"/>
    <s v="Amit Shah"/>
    <x v="0"/>
    <x v="4"/>
    <s v="MP"/>
    <s v="Furniture"/>
    <s v="Binders"/>
    <n v="200"/>
    <n v="1"/>
    <n v="200"/>
    <n v="0.05"/>
    <n v="199.95"/>
    <n v="2"/>
  </r>
  <r>
    <x v="55"/>
    <x v="34"/>
    <d v="2023-01-10T00:00:00"/>
    <s v="Rahul Verma"/>
    <x v="1"/>
    <x v="2"/>
    <s v="MH"/>
    <s v="Office Supplies"/>
    <s v="Phones"/>
    <n v="16464"/>
    <n v="3"/>
    <n v="49392"/>
    <n v="0.05"/>
    <n v="49391.95"/>
    <n v="5"/>
  </r>
  <r>
    <x v="56"/>
    <x v="35"/>
    <d v="2023-01-30T00:00:00"/>
    <s v="Pooja Mehta"/>
    <x v="1"/>
    <x v="2"/>
    <s v="NA"/>
    <s v="Technology"/>
    <s v="Phones"/>
    <n v="55497"/>
    <n v="1"/>
    <n v="55497"/>
    <n v="0"/>
    <n v="55497"/>
    <n v="1"/>
  </r>
  <r>
    <x v="57"/>
    <x v="1"/>
    <d v="2023-01-12T00:00:00"/>
    <s v="Amit Shah"/>
    <x v="2"/>
    <x v="1"/>
    <s v="MH"/>
    <s v="Technology"/>
    <s v="Chairs"/>
    <n v="200"/>
    <n v="3"/>
    <n v="600"/>
    <n v="0"/>
    <n v="600"/>
    <n v="3"/>
  </r>
  <r>
    <x v="58"/>
    <x v="24"/>
    <d v="2023-03-06T00:00:00"/>
    <s v="Amit Shah"/>
    <x v="2"/>
    <x v="1"/>
    <s v="DL"/>
    <s v="Furniture"/>
    <s v="Binders"/>
    <n v="0"/>
    <n v="8"/>
    <n v="0"/>
    <n v="0"/>
    <n v="0"/>
    <n v="5"/>
  </r>
  <r>
    <x v="59"/>
    <x v="2"/>
    <d v="2023-01-03T00:00:00"/>
    <s v="Unkown Customer"/>
    <x v="0"/>
    <x v="5"/>
    <s v="MH"/>
    <s v="Technology"/>
    <s v="Phones"/>
    <n v="0"/>
    <n v="9"/>
    <n v="0"/>
    <n v="0"/>
    <n v="0"/>
    <n v="1"/>
  </r>
  <r>
    <x v="60"/>
    <x v="27"/>
    <d v="2023-02-25T00:00:00"/>
    <s v="Unkown Customer"/>
    <x v="1"/>
    <x v="4"/>
    <s v="GJ"/>
    <s v="Technology"/>
    <s v="Storage"/>
    <n v="0"/>
    <n v="2"/>
    <n v="0"/>
    <n v="0.1"/>
    <n v="-0.1"/>
    <n v="5"/>
  </r>
  <r>
    <x v="61"/>
    <x v="23"/>
    <d v="2023-02-15T00:00:00"/>
    <s v="Sunil Patil"/>
    <x v="0"/>
    <x v="2"/>
    <s v="MP"/>
    <s v="Office Supplies"/>
    <s v="Laptops"/>
    <n v="200"/>
    <n v="3"/>
    <n v="600"/>
    <n v="0"/>
    <n v="600"/>
    <n v="5"/>
  </r>
  <r>
    <x v="62"/>
    <x v="21"/>
    <d v="2023-01-31T00:00:00"/>
    <s v="Rahul Verma"/>
    <x v="1"/>
    <x v="0"/>
    <s v="MP"/>
    <s v="Office Supplies"/>
    <s v="Binders"/>
    <n v="200"/>
    <n v="7"/>
    <n v="1400"/>
    <n v="0.1"/>
    <n v="1399.9"/>
    <n v="1"/>
  </r>
  <r>
    <x v="63"/>
    <x v="36"/>
    <d v="2023-01-26T00:00:00"/>
    <s v="Pooja Mehta"/>
    <x v="0"/>
    <x v="4"/>
    <s v="MH"/>
    <s v="Furniture"/>
    <s v="Tables"/>
    <n v="0"/>
    <n v="6"/>
    <n v="0"/>
    <n v="0.05"/>
    <n v="-0.05"/>
    <n v="3"/>
  </r>
  <r>
    <x v="64"/>
    <x v="2"/>
    <d v="2023-01-06T00:00:00"/>
    <s v="Amit Shah"/>
    <x v="1"/>
    <x v="5"/>
    <s v="MH"/>
    <s v="Technology"/>
    <s v="Tables"/>
    <n v="23611"/>
    <n v="10"/>
    <n v="236110"/>
    <n v="0.2"/>
    <n v="236109.8"/>
    <n v="4"/>
  </r>
  <r>
    <x v="65"/>
    <x v="26"/>
    <d v="2023-02-13T00:00:00"/>
    <s v="Sunil Patil"/>
    <x v="1"/>
    <x v="3"/>
    <s v="DL"/>
    <s v="Furniture"/>
    <s v="Binders"/>
    <n v="200"/>
    <n v="4"/>
    <n v="800"/>
    <n v="0"/>
    <n v="800"/>
    <n v="6"/>
  </r>
  <r>
    <x v="66"/>
    <x v="25"/>
    <d v="2023-03-04T00:00:00"/>
    <s v="Sunil Patil"/>
    <x v="0"/>
    <x v="4"/>
    <s v="MH"/>
    <s v="Furniture"/>
    <s v="Binders"/>
    <n v="200"/>
    <n v="5"/>
    <n v="1000"/>
    <n v="0.1"/>
    <n v="999.9"/>
    <n v="4"/>
  </r>
  <r>
    <x v="67"/>
    <x v="37"/>
    <d v="2023-01-24T00:00:00"/>
    <s v="Neha Singh"/>
    <x v="0"/>
    <x v="4"/>
    <s v="MP"/>
    <s v="Furniture"/>
    <s v="Chairs"/>
    <n v="0"/>
    <n v="7"/>
    <n v="0"/>
    <n v="0"/>
    <n v="0"/>
    <n v="6"/>
  </r>
  <r>
    <x v="68"/>
    <x v="36"/>
    <d v="2023-01-30T00:00:00"/>
    <s v="Unkown Customer"/>
    <x v="2"/>
    <x v="5"/>
    <s v="MP"/>
    <s v="Furniture"/>
    <s v="Tables"/>
    <n v="0"/>
    <n v="6"/>
    <n v="0"/>
    <n v="0.05"/>
    <n v="-0.05"/>
    <n v="7"/>
  </r>
  <r>
    <x v="69"/>
    <x v="38"/>
    <d v="2023-01-14T00:00:00"/>
    <s v="Rahul Verma"/>
    <x v="0"/>
    <x v="0"/>
    <s v="DL"/>
    <s v="Technology"/>
    <s v="Tables"/>
    <n v="200"/>
    <n v="7"/>
    <n v="1400"/>
    <n v="0.05"/>
    <n v="1399.95"/>
    <n v="3"/>
  </r>
  <r>
    <x v="70"/>
    <x v="31"/>
    <d v="2023-02-18T00:00:00"/>
    <s v="Sunil Patil"/>
    <x v="2"/>
    <x v="4"/>
    <s v="MP"/>
    <s v="Office Supplies"/>
    <s v="Binders"/>
    <n v="0"/>
    <n v="9"/>
    <n v="0"/>
    <n v="0.05"/>
    <n v="-0.05"/>
    <n v="2"/>
  </r>
  <r>
    <x v="71"/>
    <x v="39"/>
    <d v="2023-02-17T00:00:00"/>
    <s v="Pooja Mehta"/>
    <x v="2"/>
    <x v="5"/>
    <s v="MH"/>
    <s v="Furniture"/>
    <s v="Laptops"/>
    <n v="17776"/>
    <n v="9"/>
    <n v="159984"/>
    <n v="0"/>
    <n v="159984"/>
    <n v="5"/>
  </r>
  <r>
    <x v="72"/>
    <x v="15"/>
    <d v="2023-02-07T00:00:00"/>
    <s v="Neha Singh"/>
    <x v="2"/>
    <x v="0"/>
    <s v="MH"/>
    <s v="Furniture"/>
    <s v="Phones"/>
    <n v="10619"/>
    <n v="4"/>
    <n v="42476"/>
    <n v="0"/>
    <n v="42476"/>
    <n v="4"/>
  </r>
  <r>
    <x v="73"/>
    <x v="25"/>
    <d v="2023-03-05T00:00:00"/>
    <s v="Amit Shah"/>
    <x v="2"/>
    <x v="1"/>
    <s v="MH"/>
    <s v="Technology"/>
    <s v="Chairs"/>
    <n v="53775"/>
    <n v="9"/>
    <n v="483975"/>
    <n v="0.1"/>
    <n v="483974.9"/>
    <n v="5"/>
  </r>
  <r>
    <x v="74"/>
    <x v="37"/>
    <d v="2023-01-22T00:00:00"/>
    <s v="Sunil Patil"/>
    <x v="0"/>
    <x v="2"/>
    <s v="GJ"/>
    <s v="Furniture"/>
    <s v="Chairs"/>
    <n v="14971"/>
    <n v="7"/>
    <n v="104797"/>
    <n v="0.2"/>
    <n v="104796.8"/>
    <n v="4"/>
  </r>
  <r>
    <x v="75"/>
    <x v="34"/>
    <d v="2023-01-07T00:00:00"/>
    <s v="Ankit Jain"/>
    <x v="2"/>
    <x v="4"/>
    <s v="MH"/>
    <s v="Furniture"/>
    <s v="Binders"/>
    <n v="0"/>
    <n v="5"/>
    <n v="0"/>
    <n v="0"/>
    <n v="0"/>
    <n v="2"/>
  </r>
  <r>
    <x v="76"/>
    <x v="33"/>
    <d v="2023-03-02T00:00:00"/>
    <s v="Sunil Patil"/>
    <x v="2"/>
    <x v="4"/>
    <s v="NA"/>
    <s v="Office Supplies"/>
    <s v="Storage"/>
    <n v="34210"/>
    <n v="5"/>
    <n v="171050"/>
    <n v="0.1"/>
    <n v="171049.9"/>
    <n v="4"/>
  </r>
  <r>
    <x v="77"/>
    <x v="26"/>
    <d v="2023-02-08T00:00:00"/>
    <s v="Unkown Customer"/>
    <x v="0"/>
    <x v="1"/>
    <s v="NA"/>
    <s v="Office Supplies"/>
    <s v="Binders"/>
    <n v="0"/>
    <n v="7"/>
    <n v="0"/>
    <n v="0"/>
    <n v="0"/>
    <n v="1"/>
  </r>
  <r>
    <x v="78"/>
    <x v="40"/>
    <d v="2023-02-27T00:00:00"/>
    <s v="Sunil Patil"/>
    <x v="0"/>
    <x v="3"/>
    <s v="NA"/>
    <s v="Technology"/>
    <s v="Laptops"/>
    <n v="200"/>
    <n v="1"/>
    <n v="200"/>
    <n v="0.2"/>
    <n v="199.8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0DB64-D269-4978-9847-DF4E97078C9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3" firstHeaderRow="1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2"/>
        <item x="3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showDataAs="percentOfTotal" baseField="0" baseItem="0" numFmtId="10"/>
  </dataFields>
  <formats count="9">
    <format dxfId="535">
      <pivotArea type="all" dataOnly="0" outline="0" fieldPosition="0"/>
    </format>
    <format dxfId="534">
      <pivotArea outline="0" collapsedLevelsAreSubtotals="1" fieldPosition="0"/>
    </format>
    <format dxfId="533">
      <pivotArea field="8" type="button" dataOnly="0" labelOnly="1" outline="0" axis="axisRow" fieldPosition="0"/>
    </format>
    <format dxfId="532">
      <pivotArea dataOnly="0" labelOnly="1" fieldPosition="0">
        <references count="1">
          <reference field="8" count="0"/>
        </references>
      </pivotArea>
    </format>
    <format dxfId="531">
      <pivotArea dataOnly="0" labelOnly="1" grandRow="1" outline="0" fieldPosition="0"/>
    </format>
    <format dxfId="530">
      <pivotArea dataOnly="0" labelOnly="1" outline="0" axis="axisValues" fieldPosition="0"/>
    </format>
    <format dxfId="529">
      <pivotArea field="8" type="button" dataOnly="0" labelOnly="1" outline="0" axis="axisRow" fieldPosition="0"/>
    </format>
    <format dxfId="528">
      <pivotArea dataOnly="0" labelOnly="1" outline="0" axis="axisValues" fieldPosition="0"/>
    </format>
    <format dxfId="527">
      <pivotArea dataOnly="0" grandRow="1" axis="axisRow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A0DE8-B52A-4EC9-AAD7-718115EC47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2" firstHeaderRow="1" firstDataRow="1" firstDataCol="1"/>
  <pivotFields count="14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1" baseField="0" baseItem="0"/>
  </dataFields>
  <formats count="16">
    <format dxfId="551">
      <pivotArea type="all" dataOnly="0" outline="0" fieldPosition="0"/>
    </format>
    <format dxfId="550">
      <pivotArea outline="0" collapsedLevelsAreSubtotals="1" fieldPosition="0"/>
    </format>
    <format dxfId="549">
      <pivotArea field="7" type="button" dataOnly="0" labelOnly="1" outline="0" axis="axisRow" fieldPosition="0"/>
    </format>
    <format dxfId="548">
      <pivotArea dataOnly="0" labelOnly="1" fieldPosition="0">
        <references count="1">
          <reference field="7" count="0"/>
        </references>
      </pivotArea>
    </format>
    <format dxfId="547">
      <pivotArea dataOnly="0" labelOnly="1" grandRow="1" outline="0" fieldPosition="0"/>
    </format>
    <format dxfId="546">
      <pivotArea dataOnly="0" labelOnly="1" outline="0" axis="axisValues" fieldPosition="0"/>
    </format>
    <format dxfId="545">
      <pivotArea type="all" dataOnly="0" outline="0" fieldPosition="0"/>
    </format>
    <format dxfId="544">
      <pivotArea outline="0" collapsedLevelsAreSubtotals="1" fieldPosition="0"/>
    </format>
    <format dxfId="543">
      <pivotArea field="7" type="button" dataOnly="0" labelOnly="1" outline="0" axis="axisRow" fieldPosition="0"/>
    </format>
    <format dxfId="542">
      <pivotArea dataOnly="0" labelOnly="1" fieldPosition="0">
        <references count="1">
          <reference field="7" count="0"/>
        </references>
      </pivotArea>
    </format>
    <format dxfId="541">
      <pivotArea dataOnly="0" labelOnly="1" grandRow="1" outline="0" fieldPosition="0"/>
    </format>
    <format dxfId="540">
      <pivotArea dataOnly="0" labelOnly="1" outline="0" axis="axisValues" fieldPosition="0"/>
    </format>
    <format dxfId="539">
      <pivotArea field="7" type="button" dataOnly="0" labelOnly="1" outline="0" axis="axisRow" fieldPosition="0"/>
    </format>
    <format dxfId="538">
      <pivotArea dataOnly="0" labelOnly="1" outline="0" axis="axisValues" fieldPosition="0"/>
    </format>
    <format dxfId="537">
      <pivotArea grandRow="1" outline="0" collapsedLevelsAreSubtotals="1" fieldPosition="0"/>
    </format>
    <format dxfId="5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E701C-4248-4E5B-9C7E-09C50412DE06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Profit Marzine" fld="1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80BB2-9CD4-4168-B872-572437FBF4A7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B107" firstHeaderRow="1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axis="axisRow" showAll="0">
      <items count="8">
        <item x="2"/>
        <item x="0"/>
        <item x="6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fit" fld="13" subtotal="average" baseField="5" baseItem="0"/>
  </dataFields>
  <formats count="12">
    <format dxfId="522">
      <pivotArea type="all" dataOnly="0" outline="0" fieldPosition="0"/>
    </format>
    <format dxfId="521">
      <pivotArea outline="0" collapsedLevelsAreSubtotals="1" fieldPosition="0"/>
    </format>
    <format dxfId="520">
      <pivotArea field="5" type="button" dataOnly="0" labelOnly="1" outline="0" axis="axisRow" fieldPosition="0"/>
    </format>
    <format dxfId="519">
      <pivotArea dataOnly="0" labelOnly="1" fieldPosition="0">
        <references count="1">
          <reference field="5" count="0"/>
        </references>
      </pivotArea>
    </format>
    <format dxfId="518">
      <pivotArea dataOnly="0" labelOnly="1" grandRow="1" outline="0" fieldPosition="0"/>
    </format>
    <format dxfId="517">
      <pivotArea dataOnly="0" labelOnly="1" outline="0" axis="axisValues" fieldPosition="0"/>
    </format>
    <format dxfId="516">
      <pivotArea type="all" dataOnly="0" outline="0" fieldPosition="0"/>
    </format>
    <format dxfId="515">
      <pivotArea outline="0" collapsedLevelsAreSubtotals="1" fieldPosition="0"/>
    </format>
    <format dxfId="514">
      <pivotArea field="5" type="button" dataOnly="0" labelOnly="1" outline="0" axis="axisRow" fieldPosition="0"/>
    </format>
    <format dxfId="513">
      <pivotArea dataOnly="0" labelOnly="1" fieldPosition="0">
        <references count="1">
          <reference field="5" count="0"/>
        </references>
      </pivotArea>
    </format>
    <format dxfId="512">
      <pivotArea dataOnly="0" labelOnly="1" grandRow="1" outline="0" fieldPosition="0"/>
    </format>
    <format dxfId="511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BF697-0A07-4349-933A-C60C983B0578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1"/>
        <item x="5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venue" fld="11" showDataAs="percentOfTotal" baseField="0" baseItem="0" numFmtId="10"/>
    <dataField name="Sum of Discount" fld="12" showDataAs="percentOfTotal" baseField="0" baseItem="0" numFmtId="10"/>
    <dataField name="Sum of Profit" fld="13" showDataAs="percentOfTotal" baseField="0" baseItem="0" numFmtId="10"/>
  </dataFields>
  <formats count="12">
    <format dxfId="466">
      <pivotArea type="all" dataOnly="0" outline="0" fieldPosition="0"/>
    </format>
    <format dxfId="465">
      <pivotArea outline="0" collapsedLevelsAreSubtotals="1" fieldPosition="0"/>
    </format>
    <format dxfId="464">
      <pivotArea field="8" type="button" dataOnly="0" labelOnly="1" outline="0" axis="axisRow" fieldPosition="0"/>
    </format>
    <format dxfId="463">
      <pivotArea dataOnly="0" labelOnly="1" fieldPosition="0">
        <references count="1">
          <reference field="8" count="0"/>
        </references>
      </pivotArea>
    </format>
    <format dxfId="462">
      <pivotArea dataOnly="0" labelOnly="1" grandRow="1" outline="0" fieldPosition="0"/>
    </format>
    <format dxfId="4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field="8" type="button" dataOnly="0" labelOnly="1" outline="0" axis="axisRow" fieldPosition="0"/>
    </format>
    <format dxfId="457">
      <pivotArea dataOnly="0" labelOnly="1" fieldPosition="0">
        <references count="1">
          <reference field="8" count="0"/>
        </references>
      </pivotArea>
    </format>
    <format dxfId="456">
      <pivotArea dataOnly="0" labelOnly="1" grandRow="1" outline="0" fieldPosition="0"/>
    </format>
    <format dxfId="4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1"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6144-4F04-4FD4-8E52-26E12870F7D5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3" firstHeaderRow="1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2"/>
        <item x="3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 v="4"/>
    </i>
    <i>
      <x v="2"/>
    </i>
    <i>
      <x v="1"/>
    </i>
    <i>
      <x v="5"/>
    </i>
    <i>
      <x v="3"/>
    </i>
    <i>
      <x/>
    </i>
    <i t="grand">
      <x/>
    </i>
  </rowItems>
  <colItems count="1">
    <i/>
  </colItems>
  <dataFields count="1">
    <dataField name="Sum of Discount" fld="12" showDataAs="percentOfTotal" baseField="0" baseItem="0" numFmtId="10"/>
  </dataFields>
  <formats count="20">
    <format dxfId="486">
      <pivotArea dataOnly="0" fieldPosition="0">
        <references count="1">
          <reference field="8" count="1">
            <x v="4"/>
          </reference>
        </references>
      </pivotArea>
    </format>
    <format dxfId="485">
      <pivotArea dataOnly="0" fieldPosition="0">
        <references count="1">
          <reference field="8" count="1">
            <x v="4"/>
          </reference>
        </references>
      </pivotArea>
    </format>
    <format dxfId="484">
      <pivotArea field="8" type="button" dataOnly="0" labelOnly="1" outline="0" axis="axisRow" fieldPosition="0"/>
    </format>
    <format dxfId="483">
      <pivotArea dataOnly="0" labelOnly="1" outline="0" axis="axisValues" fieldPosition="0"/>
    </format>
    <format dxfId="482">
      <pivotArea field="8" type="button" dataOnly="0" labelOnly="1" outline="0" axis="axisRow" fieldPosition="0"/>
    </format>
    <format dxfId="481">
      <pivotArea dataOnly="0" labelOnly="1" outline="0" axis="axisValues" fieldPosition="0"/>
    </format>
    <format dxfId="480">
      <pivotArea grandRow="1" outline="0" collapsedLevelsAreSubtotals="1" fieldPosition="0"/>
    </format>
    <format dxfId="479">
      <pivotArea dataOnly="0" labelOnly="1" grandRow="1" outline="0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field="8" type="button" dataOnly="0" labelOnly="1" outline="0" axis="axisRow" fieldPosition="0"/>
    </format>
    <format dxfId="475">
      <pivotArea dataOnly="0" labelOnly="1" fieldPosition="0">
        <references count="1">
          <reference field="8" count="0"/>
        </references>
      </pivotArea>
    </format>
    <format dxfId="474">
      <pivotArea dataOnly="0" labelOnly="1" grandRow="1" outline="0" fieldPosition="0"/>
    </format>
    <format dxfId="473">
      <pivotArea dataOnly="0" labelOnly="1" outline="0" axis="axisValues" fieldPosition="0"/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field="8" type="button" dataOnly="0" labelOnly="1" outline="0" axis="axisRow" fieldPosition="0"/>
    </format>
    <format dxfId="469">
      <pivotArea dataOnly="0" labelOnly="1" fieldPosition="0">
        <references count="1">
          <reference field="8" count="0"/>
        </references>
      </pivotArea>
    </format>
    <format dxfId="468">
      <pivotArea dataOnly="0" labelOnly="1" grandRow="1" outline="0" fieldPosition="0"/>
    </format>
    <format dxfId="4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2D488-D6CA-474E-8700-709C5A050E54}" name="PivotTable1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C30" firstHeaderRow="0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12" showDataAs="percentOfTotal" baseField="0" baseItem="0" numFmtId="10"/>
    <dataField name="Sum of Sales" fld="9" baseField="0" baseItem="0"/>
  </dataFields>
  <formats count="17"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7" type="button" dataOnly="0" labelOnly="1" outline="0" axis="axisRow" fieldPosition="0"/>
    </format>
    <format dxfId="500">
      <pivotArea dataOnly="0" labelOnly="1" fieldPosition="0">
        <references count="1">
          <reference field="7" count="0"/>
        </references>
      </pivotArea>
    </format>
    <format dxfId="499">
      <pivotArea dataOnly="0" labelOnly="1" grandRow="1" outline="0" fieldPosition="0"/>
    </format>
    <format dxfId="4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7" type="button" dataOnly="0" labelOnly="1" outline="0" axis="axisRow" fieldPosition="0"/>
    </format>
    <format dxfId="494">
      <pivotArea dataOnly="0" labelOnly="1" fieldPosition="0">
        <references count="1">
          <reference field="7" count="0"/>
        </references>
      </pivotArea>
    </format>
    <format dxfId="493">
      <pivotArea dataOnly="0" labelOnly="1" grandRow="1" outline="0" fieldPosition="0"/>
    </format>
    <format dxfId="4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1">
      <pivotArea outline="0" fieldPosition="0">
        <references count="1">
          <reference field="4294967294" count="1">
            <x v="0"/>
          </reference>
        </references>
      </pivotArea>
    </format>
    <format dxfId="490">
      <pivotArea field="7" type="button" dataOnly="0" labelOnly="1" outline="0" axis="axisRow" fieldPosition="0"/>
    </format>
    <format dxfId="4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8">
      <pivotArea grandRow="1" outline="0" collapsedLevelsAreSubtotals="1" fieldPosition="0"/>
    </format>
    <format dxfId="48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92727-874A-438A-BBA4-C5323DBCFDB4}" name="PivotTable1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3" firstHeaderRow="1" firstDataRow="1" firstDataCol="1"/>
  <pivotFields count="17">
    <pivotField axis="axisRow" showAll="0" sortType="descending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0">
    <i>
      <x v="38"/>
    </i>
    <i>
      <x v="68"/>
    </i>
    <i>
      <x v="53"/>
    </i>
    <i>
      <x v="8"/>
    </i>
    <i>
      <x v="27"/>
    </i>
    <i>
      <x v="10"/>
    </i>
    <i>
      <x v="41"/>
    </i>
    <i>
      <x v="13"/>
    </i>
    <i>
      <x v="15"/>
    </i>
    <i>
      <x v="20"/>
    </i>
    <i>
      <x v="12"/>
    </i>
    <i>
      <x v="7"/>
    </i>
    <i>
      <x v="67"/>
    </i>
    <i>
      <x v="26"/>
    </i>
    <i>
      <x v="18"/>
    </i>
    <i>
      <x v="1"/>
    </i>
    <i>
      <x v="65"/>
    </i>
    <i>
      <x v="35"/>
    </i>
    <i>
      <x v="25"/>
    </i>
    <i>
      <x v="78"/>
    </i>
    <i>
      <x v="30"/>
    </i>
    <i>
      <x v="58"/>
    </i>
    <i>
      <x v="3"/>
    </i>
    <i>
      <x v="61"/>
    </i>
    <i>
      <x v="43"/>
    </i>
    <i>
      <x v="71"/>
    </i>
    <i>
      <x v="46"/>
    </i>
    <i>
      <x v="60"/>
    </i>
    <i>
      <x v="47"/>
    </i>
    <i>
      <x v="14"/>
    </i>
    <i>
      <x v="52"/>
    </i>
    <i>
      <x v="17"/>
    </i>
    <i>
      <x v="73"/>
    </i>
    <i>
      <x v="2"/>
    </i>
    <i>
      <x v="55"/>
    </i>
    <i>
      <x v="36"/>
    </i>
    <i>
      <x v="6"/>
    </i>
    <i>
      <x v="76"/>
    </i>
    <i>
      <x v="32"/>
    </i>
    <i>
      <x v="33"/>
    </i>
    <i>
      <x v="29"/>
    </i>
    <i>
      <x v="22"/>
    </i>
    <i>
      <x v="72"/>
    </i>
    <i>
      <x v="9"/>
    </i>
    <i>
      <x v="74"/>
    </i>
    <i>
      <x v="48"/>
    </i>
    <i>
      <x v="66"/>
    </i>
    <i>
      <x v="64"/>
    </i>
    <i>
      <x v="37"/>
    </i>
    <i>
      <x v="57"/>
    </i>
    <i>
      <x v="63"/>
    </i>
    <i>
      <x v="44"/>
    </i>
    <i>
      <x v="42"/>
    </i>
    <i>
      <x v="69"/>
    </i>
    <i>
      <x v="16"/>
    </i>
    <i>
      <x v="4"/>
    </i>
    <i>
      <x v="39"/>
    </i>
    <i>
      <x v="51"/>
    </i>
    <i>
      <x/>
    </i>
    <i>
      <x v="54"/>
    </i>
    <i>
      <x v="31"/>
    </i>
    <i>
      <x v="70"/>
    </i>
    <i>
      <x v="45"/>
    </i>
    <i>
      <x v="28"/>
    </i>
    <i>
      <x v="34"/>
    </i>
    <i>
      <x v="75"/>
    </i>
    <i>
      <x v="11"/>
    </i>
    <i>
      <x v="40"/>
    </i>
    <i>
      <x v="21"/>
    </i>
    <i>
      <x v="49"/>
    </i>
    <i>
      <x v="24"/>
    </i>
    <i>
      <x v="56"/>
    </i>
    <i>
      <x v="19"/>
    </i>
    <i>
      <x v="62"/>
    </i>
    <i>
      <x v="59"/>
    </i>
    <i>
      <x v="77"/>
    </i>
    <i>
      <x v="23"/>
    </i>
    <i>
      <x v="50"/>
    </i>
    <i>
      <x v="5"/>
    </i>
    <i t="grand">
      <x/>
    </i>
  </rowItems>
  <colItems count="1">
    <i/>
  </colItems>
  <dataFields count="1">
    <dataField name="Average of Delivery Time " fld="14" subtotal="average" baseField="0" baseItem="0"/>
  </dataFields>
  <formats count="14">
    <format dxfId="431">
      <pivotArea type="all" dataOnly="0" outline="0" fieldPosition="0"/>
    </format>
    <format dxfId="430">
      <pivotArea outline="0" collapsedLevelsAreSubtotals="1" fieldPosition="0"/>
    </format>
    <format dxfId="429">
      <pivotArea field="0" type="button" dataOnly="0" labelOnly="1" outline="0" axis="axisRow" fieldPosition="0"/>
    </format>
    <format dxfId="42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7">
      <pivotArea dataOnly="0" labelOnly="1" fieldPosition="0">
        <references count="1">
          <reference field="0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426">
      <pivotArea dataOnly="0" labelOnly="1" grandRow="1" outline="0" fieldPosition="0"/>
    </format>
    <format dxfId="425">
      <pivotArea dataOnly="0" labelOnly="1" outline="0" axis="axisValues" fieldPosition="0"/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0" type="button" dataOnly="0" labelOnly="1" outline="0" axis="axisRow" fieldPosition="0"/>
    </format>
    <format dxfId="42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0">
      <pivotArea dataOnly="0" labelOnly="1" fieldPosition="0">
        <references count="1">
          <reference field="0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419">
      <pivotArea dataOnly="0" labelOnly="1" grandRow="1" outline="0" fieldPosition="0"/>
    </format>
    <format dxfId="4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4FD39-AF1B-4E9F-8433-A9DC058E55FD}" name="PivotTable1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7:B95" firstHeaderRow="1" firstDataRow="1" firstDataCol="1"/>
  <pivotFields count="17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axis="axisRow" showAll="0" sortType="descending">
      <items count="8">
        <item x="2"/>
        <item x="0"/>
        <item x="6"/>
        <item x="3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 v="4"/>
    </i>
    <i>
      <x v="5"/>
    </i>
    <i>
      <x v="6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Delivery Time " fld="14" baseField="0" baseItem="0"/>
  </dataFields>
  <formats count="16">
    <format dxfId="447">
      <pivotArea field="5" type="button" dataOnly="0" labelOnly="1" outline="0" axis="axisRow" fieldPosition="0"/>
    </format>
    <format dxfId="446">
      <pivotArea dataOnly="0" labelOnly="1" outline="0" axis="axisValues" fieldPosition="0"/>
    </format>
    <format dxfId="445">
      <pivotArea grandRow="1" outline="0" collapsedLevelsAreSubtotals="1" fieldPosition="0"/>
    </format>
    <format dxfId="444">
      <pivotArea dataOnly="0" labelOnly="1" grandRow="1" outline="0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field="5" type="button" dataOnly="0" labelOnly="1" outline="0" axis="axisRow" fieldPosition="0"/>
    </format>
    <format dxfId="440">
      <pivotArea dataOnly="0" labelOnly="1" fieldPosition="0">
        <references count="1">
          <reference field="5" count="0"/>
        </references>
      </pivotArea>
    </format>
    <format dxfId="439">
      <pivotArea dataOnly="0" labelOnly="1" grandRow="1" outline="0" fieldPosition="0"/>
    </format>
    <format dxfId="438">
      <pivotArea dataOnly="0" labelOnly="1" outline="0" axis="axisValues" fieldPosition="0"/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field="5" type="button" dataOnly="0" labelOnly="1" outline="0" axis="axisRow" fieldPosition="0"/>
    </format>
    <format dxfId="434">
      <pivotArea dataOnly="0" labelOnly="1" fieldPosition="0">
        <references count="1">
          <reference field="5" count="0"/>
        </references>
      </pivotArea>
    </format>
    <format dxfId="433">
      <pivotArea dataOnly="0" labelOnly="1" grandRow="1" outline="0" fieldPosition="0"/>
    </format>
    <format dxfId="4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1B00B-6606-424C-9E3A-EF14B4E33D6E}" name="PivotTable2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49" firstHeaderRow="1" firstDataRow="1" firstDataCol="1"/>
  <pivotFields count="16">
    <pivotField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>
      <items count="8">
        <item h="1" x="2"/>
        <item h="1" x="0"/>
        <item h="1" x="6"/>
        <item h="1" x="3"/>
        <item x="4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5"/>
    <field x="14"/>
    <field x="1"/>
  </rowFields>
  <rowItems count="4">
    <i>
      <x v="2"/>
    </i>
    <i>
      <x v="1"/>
    </i>
    <i>
      <x v="3"/>
    </i>
    <i t="grand">
      <x/>
    </i>
  </rowItems>
  <colItems count="1">
    <i/>
  </colItems>
  <dataFields count="1">
    <dataField name="Sum of Profit" fld="13" baseField="0" baseItem="0"/>
  </dataFields>
  <formats count="6"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5" type="button" dataOnly="0" labelOnly="1" outline="0" axis="axisRow" fieldPosition="0"/>
    </format>
    <format dxfId="338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337">
      <pivotArea dataOnly="0" labelOnly="1" grandRow="1" outline="0" fieldPosition="0"/>
    </format>
    <format dxfId="3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F560F-429C-46D5-893B-66FA7118A56E}" name="PivotTable2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1" baseField="0" baseItem="0"/>
  </dataFields>
  <formats count="16"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4" type="button" dataOnly="0" labelOnly="1" outline="0" axis="axisRow" fieldPosition="0"/>
    </format>
    <format dxfId="354">
      <pivotArea dataOnly="0" labelOnly="1" fieldPosition="0">
        <references count="1">
          <reference field="4" count="0"/>
        </references>
      </pivotArea>
    </format>
    <format dxfId="353">
      <pivotArea dataOnly="0" labelOnly="1" grandRow="1" outline="0" fieldPosition="0"/>
    </format>
    <format dxfId="352">
      <pivotArea dataOnly="0" labelOnly="1" outline="0" axis="axisValues" fieldPosition="0"/>
    </format>
    <format dxfId="351">
      <pivotArea type="all" dataOnly="0" outline="0" fieldPosition="0"/>
    </format>
    <format dxfId="350">
      <pivotArea outline="0" collapsedLevelsAreSubtotals="1" fieldPosition="0"/>
    </format>
    <format dxfId="349">
      <pivotArea field="4" type="button" dataOnly="0" labelOnly="1" outline="0" axis="axisRow" fieldPosition="0"/>
    </format>
    <format dxfId="348">
      <pivotArea dataOnly="0" labelOnly="1" fieldPosition="0">
        <references count="1">
          <reference field="4" count="0"/>
        </references>
      </pivotArea>
    </format>
    <format dxfId="347">
      <pivotArea dataOnly="0" labelOnly="1" grandRow="1" outline="0" fieldPosition="0"/>
    </format>
    <format dxfId="346">
      <pivotArea dataOnly="0" labelOnly="1" outline="0" axis="axisValues" fieldPosition="0"/>
    </format>
    <format dxfId="345">
      <pivotArea field="4" type="button" dataOnly="0" labelOnly="1" outline="0" axis="axisRow" fieldPosition="0"/>
    </format>
    <format dxfId="344">
      <pivotArea dataOnly="0" labelOnly="1" outline="0" axis="axisValues" fieldPosition="0"/>
    </format>
    <format dxfId="343">
      <pivotArea grandRow="1" outline="0" collapsedLevelsAreSubtotals="1" fieldPosition="0"/>
    </format>
    <format dxfId="342">
      <pivotArea dataOnly="0" labelOnly="1" grandRow="1" outline="0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593B5-5E7E-4A2B-95A4-FD307CC4B74A}" name="PivotTable2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39" firstHeaderRow="1" firstDataRow="1" firstDataCol="1"/>
  <pivotFields count="17">
    <pivotField dataField="1"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formats count="12"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16" type="button" dataOnly="0" labelOnly="1" outline="0" axis="axisRow" fieldPosition="0"/>
    </format>
    <format dxfId="366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65">
      <pivotArea dataOnly="0" labelOnly="1" grandRow="1" outline="0" fieldPosition="0"/>
    </format>
    <format dxfId="364">
      <pivotArea dataOnly="0" labelOnly="1" outline="0" axis="axisValues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16" type="button" dataOnly="0" labelOnly="1" outline="0" axis="axisRow" fieldPosition="0"/>
    </format>
    <format dxfId="360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59">
      <pivotArea dataOnly="0" labelOnly="1" grandRow="1" outline="0" fieldPosition="0"/>
    </format>
    <format dxfId="3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FF0C9-2DC3-41BB-9F94-1F80B0809665}" name="PivotTable2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1" firstHeaderRow="1" firstDataRow="1" firstDataCol="1"/>
  <pivotFields count="16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h="1" x="2"/>
        <item h="1" x="0"/>
        <item h="1" x="6"/>
        <item h="1" x="3"/>
        <item x="4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Discount" fld="12" showDataAs="percentOfTotal" baseField="0" baseItem="0" numFmtId="10"/>
  </dataFields>
  <formats count="12"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4" type="button" dataOnly="0" labelOnly="1" outline="0" axis="axisRow" fieldPosition="0"/>
    </format>
    <format dxfId="378">
      <pivotArea dataOnly="0" labelOnly="1" fieldPosition="0">
        <references count="1">
          <reference field="4" count="0"/>
        </references>
      </pivotArea>
    </format>
    <format dxfId="377">
      <pivotArea dataOnly="0" labelOnly="1" grandRow="1" outline="0" fieldPosition="0"/>
    </format>
    <format dxfId="376">
      <pivotArea dataOnly="0" labelOnly="1" outline="0" axis="axisValues" fieldPosition="0"/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4" type="button" dataOnly="0" labelOnly="1" outline="0" axis="axisRow" fieldPosition="0"/>
    </format>
    <format dxfId="372">
      <pivotArea dataOnly="0" labelOnly="1" fieldPosition="0">
        <references count="1">
          <reference field="4" count="0"/>
        </references>
      </pivotArea>
    </format>
    <format dxfId="371">
      <pivotArea dataOnly="0" labelOnly="1" grandRow="1" outline="0" fieldPosition="0"/>
    </format>
    <format dxfId="3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231A-8C26-4134-90D6-A2E42C0D0830}" name="PivotTable2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3" firstHeaderRow="1" firstDataRow="1" firstDataCol="1"/>
  <pivotFields count="17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_order_Value" fld="11" subtotal="average" baseField="4" baseItem="0"/>
  </dataFields>
  <formats count="12">
    <format dxfId="393">
      <pivotArea type="all" dataOnly="0" outline="0" fieldPosition="0"/>
    </format>
    <format dxfId="392">
      <pivotArea outline="0" collapsedLevelsAreSubtotals="1" fieldPosition="0"/>
    </format>
    <format dxfId="391">
      <pivotArea field="4" type="button" dataOnly="0" labelOnly="1" outline="0" axis="axisRow" fieldPosition="0"/>
    </format>
    <format dxfId="390">
      <pivotArea dataOnly="0" labelOnly="1" fieldPosition="0">
        <references count="1">
          <reference field="4" count="0"/>
        </references>
      </pivotArea>
    </format>
    <format dxfId="389">
      <pivotArea dataOnly="0" labelOnly="1" grandRow="1" outline="0" fieldPosition="0"/>
    </format>
    <format dxfId="388">
      <pivotArea dataOnly="0" labelOnly="1" outline="0" axis="axisValues" fieldPosition="0"/>
    </format>
    <format dxfId="387">
      <pivotArea type="all" dataOnly="0" outline="0" fieldPosition="0"/>
    </format>
    <format dxfId="386">
      <pivotArea outline="0" collapsedLevelsAreSubtotals="1" fieldPosition="0"/>
    </format>
    <format dxfId="385">
      <pivotArea field="4" type="button" dataOnly="0" labelOnly="1" outline="0" axis="axisRow" fieldPosition="0"/>
    </format>
    <format dxfId="384">
      <pivotArea dataOnly="0" labelOnly="1" fieldPosition="0">
        <references count="1">
          <reference field="4" count="0"/>
        </references>
      </pivotArea>
    </format>
    <format dxfId="383">
      <pivotArea dataOnly="0" labelOnly="1" grandRow="1" outline="0" fieldPosition="0"/>
    </format>
    <format dxfId="3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86FC1-BAA7-4351-990F-D25A83C574EB}" name="PivotTable2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17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3" baseField="0" baseItem="0"/>
  </dataFields>
  <formats count="12">
    <format dxfId="405">
      <pivotArea type="all" dataOnly="0" outline="0" fieldPosition="0"/>
    </format>
    <format dxfId="404">
      <pivotArea outline="0" collapsedLevelsAreSubtotals="1" fieldPosition="0"/>
    </format>
    <format dxfId="403">
      <pivotArea field="4" type="button" dataOnly="0" labelOnly="1" outline="0" axis="axisRow" fieldPosition="0"/>
    </format>
    <format dxfId="402">
      <pivotArea dataOnly="0" labelOnly="1" fieldPosition="0">
        <references count="1">
          <reference field="4" count="0"/>
        </references>
      </pivotArea>
    </format>
    <format dxfId="401">
      <pivotArea dataOnly="0" labelOnly="1" grandRow="1" outline="0" fieldPosition="0"/>
    </format>
    <format dxfId="400">
      <pivotArea dataOnly="0" labelOnly="1" outline="0" axis="axisValues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4" type="button" dataOnly="0" labelOnly="1" outline="0" axis="axisRow" fieldPosition="0"/>
    </format>
    <format dxfId="396">
      <pivotArea dataOnly="0" labelOnly="1" fieldPosition="0">
        <references count="1">
          <reference field="4" count="0"/>
        </references>
      </pivotArea>
    </format>
    <format dxfId="395">
      <pivotArea dataOnly="0" labelOnly="1" grandRow="1" outline="0" fieldPosition="0"/>
    </format>
    <format dxfId="3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E3968-3292-4329-8E6C-715A91C3FC1D}" name="PivotTable2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3:B57" firstHeaderRow="1" firstDataRow="1" firstDataCol="1"/>
  <pivotFields count="17">
    <pivotField dataField="1"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formats count="12">
    <format dxfId="417">
      <pivotArea type="all" dataOnly="0" outline="0" fieldPosition="0"/>
    </format>
    <format dxfId="416">
      <pivotArea outline="0" collapsedLevelsAreSubtotals="1" fieldPosition="0"/>
    </format>
    <format dxfId="415">
      <pivotArea field="16" type="button" dataOnly="0" labelOnly="1" outline="0" axis="axisRow" fieldPosition="0"/>
    </format>
    <format dxfId="414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413">
      <pivotArea dataOnly="0" labelOnly="1" grandRow="1" outline="0" fieldPosition="0"/>
    </format>
    <format dxfId="412">
      <pivotArea dataOnly="0" labelOnly="1" outline="0" axis="axisValues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16" type="button" dataOnly="0" labelOnly="1" outline="0" axis="axisRow" fieldPosition="0"/>
    </format>
    <format dxfId="408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407">
      <pivotArea dataOnly="0" labelOnly="1" grandRow="1" outline="0" fieldPosition="0"/>
    </format>
    <format dxfId="40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2E317-A36E-4E25-9721-0A764C900D5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40" firstHeaderRow="1" firstDataRow="1" firstDataCol="0"/>
  <pivotFields count="17">
    <pivotField showAll="0"/>
    <pivotField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A74EC-9EDC-474F-BCDF-2CD85863D99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17">
    <pivotField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formats count="12"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16" type="button" dataOnly="0" labelOnly="1" outline="0" axis="axisRow" fieldPosition="0"/>
    </format>
    <format dxfId="320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19">
      <pivotArea dataOnly="0" labelOnly="1" grandRow="1" outline="0" fieldPosition="0"/>
    </format>
    <format dxfId="318">
      <pivotArea dataOnly="0" labelOnly="1" outline="0" axis="axisValues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16" type="button" dataOnly="0" labelOnly="1" outline="0" axis="axisRow" fieldPosition="0"/>
    </format>
    <format dxfId="314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13">
      <pivotArea dataOnly="0" labelOnly="1" grandRow="1" outline="0" fieldPosition="0"/>
    </format>
    <format dxfId="312">
      <pivotArea dataOnly="0" labelOnly="1" outline="0" axis="axisValues" fieldPosition="0"/>
    </format>
  </formats>
  <conditionalFormats count="1">
    <conditionalFormat priority="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F7638-EFFB-4806-A40A-33EEC8ABBAE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dataField="1"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formats count="12"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16" type="button" dataOnly="0" labelOnly="1" outline="0" axis="axisRow" fieldPosition="0"/>
    </format>
    <format dxfId="332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31">
      <pivotArea dataOnly="0" labelOnly="1" grandRow="1" outline="0" fieldPosition="0"/>
    </format>
    <format dxfId="330">
      <pivotArea dataOnly="0" labelOnly="1" outline="0" axis="axisValues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16" type="button" dataOnly="0" labelOnly="1" outline="0" axis="axisRow" fieldPosition="0"/>
    </format>
    <format dxfId="326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325">
      <pivotArea dataOnly="0" labelOnly="1" grandRow="1" outline="0" fieldPosition="0"/>
    </format>
    <format dxfId="3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E25F6-409F-4B57-A676-1F9E54584388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8" firstHeaderRow="1" firstDataRow="1" firstDataCol="1"/>
  <pivotFields count="17">
    <pivotField dataField="1" showAll="0"/>
    <pivotField axis="axisRow" numFmtId="14" showAll="0">
      <items count="42">
        <item x="14"/>
        <item x="2"/>
        <item x="16"/>
        <item x="34"/>
        <item x="18"/>
        <item x="1"/>
        <item x="38"/>
        <item x="17"/>
        <item x="5"/>
        <item x="13"/>
        <item x="4"/>
        <item x="37"/>
        <item x="20"/>
        <item x="10"/>
        <item x="8"/>
        <item x="6"/>
        <item x="36"/>
        <item x="32"/>
        <item x="0"/>
        <item x="9"/>
        <item x="35"/>
        <item x="21"/>
        <item x="29"/>
        <item x="3"/>
        <item x="15"/>
        <item x="26"/>
        <item x="23"/>
        <item x="39"/>
        <item x="12"/>
        <item x="30"/>
        <item x="31"/>
        <item x="11"/>
        <item x="19"/>
        <item x="27"/>
        <item x="40"/>
        <item x="22"/>
        <item x="7"/>
        <item x="33"/>
        <item x="28"/>
        <item x="25"/>
        <item x="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BC6444-2752-4FE7-91D9-36D8C2EC95D2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Ship Date" tableColumnId="3"/>
      <queryTableField id="4" name="Customer Name" tableColumnId="4"/>
      <queryTableField id="5" name="Segment" tableColumnId="5"/>
      <queryTableField id="6" name="City" tableColumnId="6"/>
      <queryTableField id="7" name="State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Ship Mod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B6FB5C0-546B-497A-B163-D240CE64861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 ID" tableColumnId="1"/>
      <queryTableField id="2" name="Order Date" tableColumnId="2"/>
      <queryTableField id="3" name="Ship Date" tableColumnId="3"/>
      <queryTableField id="4" name="Customer Name" tableColumnId="4"/>
      <queryTableField id="5" name="Segment" tableColumnId="5"/>
      <queryTableField id="6" name="City" tableColumnId="6"/>
      <queryTableField id="7" name="State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Total_Revenue" tableColumnId="12"/>
      <queryTableField id="13" name="Discount" tableColumnId="13"/>
      <queryTableField id="14" name="Profit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046C3-4363-4797-B87E-A8DC6CC42DC6}" name="Superstore_Messy_Data" displayName="Superstore_Messy_Data" ref="A1:N101" tableType="queryTable" totalsRowShown="0">
  <autoFilter ref="A1:N101" xr:uid="{B09046C3-4363-4797-B87E-A8DC6CC42DC6}"/>
  <tableColumns count="14">
    <tableColumn id="1" xr3:uid="{1B7009B3-3A62-48D4-8F7E-48A4C353D20B}" uniqueName="1" name="Order ID" queryTableFieldId="1" dataDxfId="592"/>
    <tableColumn id="2" xr3:uid="{B3C9CF50-BD52-4AA2-964C-423EC12B266C}" uniqueName="2" name="Order Date" queryTableFieldId="2" dataDxfId="591"/>
    <tableColumn id="3" xr3:uid="{B311E436-2CC8-4FE2-AB82-E87628A3EEEA}" uniqueName="3" name="Ship Date" queryTableFieldId="3" dataDxfId="590"/>
    <tableColumn id="4" xr3:uid="{428AC97C-D119-439D-88E4-521AD5286E58}" uniqueName="4" name="Customer Name" queryTableFieldId="4" dataDxfId="589"/>
    <tableColumn id="5" xr3:uid="{4C7E2D0A-8BF0-4D07-9F71-4156FA015550}" uniqueName="5" name="Segment" queryTableFieldId="5" dataDxfId="588"/>
    <tableColumn id="6" xr3:uid="{90E776E4-033A-481D-A25E-76B5B69FC1EE}" uniqueName="6" name="City" queryTableFieldId="6" dataDxfId="587"/>
    <tableColumn id="7" xr3:uid="{5C224537-4F4A-4C7C-815E-9DDD5EF01D7F}" uniqueName="7" name="State" queryTableFieldId="7" dataDxfId="586"/>
    <tableColumn id="8" xr3:uid="{58041BAE-8146-49F0-B5F6-9EFAD57FF020}" uniqueName="8" name="Category" queryTableFieldId="8" dataDxfId="585"/>
    <tableColumn id="9" xr3:uid="{8E330110-486A-4E96-836C-66995940FC0C}" uniqueName="9" name="Sub-Category" queryTableFieldId="9" dataDxfId="584"/>
    <tableColumn id="10" xr3:uid="{2C2DA145-F92C-4CEA-AA51-BC4B4A3D0E68}" uniqueName="10" name="Sales" queryTableFieldId="10"/>
    <tableColumn id="11" xr3:uid="{CF034E00-ED12-4CC8-8C1F-27CFDFC539AA}" uniqueName="11" name="Quantity" queryTableFieldId="11"/>
    <tableColumn id="12" xr3:uid="{59C83D92-53E6-4974-8C1A-BA877680BEC8}" uniqueName="12" name="Discount" queryTableFieldId="12"/>
    <tableColumn id="13" xr3:uid="{2B3C79B8-25DE-4F05-BDC5-E6BB1BBFFC45}" uniqueName="13" name="Profit" queryTableFieldId="13"/>
    <tableColumn id="14" xr3:uid="{EFC3F978-F680-46AC-A3C6-AAA42A2CBB35}" uniqueName="14" name="Ship Mode" queryTableFieldId="14" dataDxfId="58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8D5B7E-2306-4DC7-8522-63943B025799}" name="Ship_Date" displayName="Ship_Date" ref="A1:O81" tableType="queryTable" totalsRowCount="1" dataDxfId="582">
  <autoFilter ref="A1:O80" xr:uid="{FB8D5B7E-2306-4DC7-8522-63943B025799}"/>
  <tableColumns count="15">
    <tableColumn id="1" xr3:uid="{7F3825C0-2E0E-40AC-AE4D-7E6B4841F847}" uniqueName="1" name="Order ID" queryTableFieldId="1" dataDxfId="581" totalsRowDxfId="580"/>
    <tableColumn id="2" xr3:uid="{24A2E2E0-2EBA-4BFC-B2B2-99577258C9EA}" uniqueName="2" name="Order Date" queryTableFieldId="2" dataDxfId="579" totalsRowDxfId="578"/>
    <tableColumn id="3" xr3:uid="{6F314C62-B3DC-4F1A-82EC-E8BA5417E7A3}" uniqueName="3" name="Ship Date" queryTableFieldId="3" dataDxfId="577" totalsRowDxfId="576"/>
    <tableColumn id="4" xr3:uid="{425ABEA7-EF44-4D65-8E42-E4E2EC67AFC6}" uniqueName="4" name="Customer Name" queryTableFieldId="4" dataDxfId="575" totalsRowDxfId="574"/>
    <tableColumn id="5" xr3:uid="{C8059E89-4B0C-4CF1-8C0B-E55FDDC08EF2}" uniqueName="5" name="Segment" queryTableFieldId="5" dataDxfId="573" totalsRowDxfId="572"/>
    <tableColumn id="6" xr3:uid="{E561F460-9FE9-4BC3-8959-39849B89AD33}" uniqueName="6" name="City" queryTableFieldId="6" dataDxfId="571" totalsRowDxfId="570"/>
    <tableColumn id="7" xr3:uid="{0A980119-69D6-4EAE-9732-EDF63AA4FC25}" uniqueName="7" name="State" queryTableFieldId="7" dataDxfId="569" totalsRowDxfId="568"/>
    <tableColumn id="8" xr3:uid="{1AAF0E3B-9A55-478C-B30B-31D173F82417}" uniqueName="8" name="Category" queryTableFieldId="8" dataDxfId="567" totalsRowDxfId="566"/>
    <tableColumn id="9" xr3:uid="{0E44460B-ACCC-43CD-9E18-C02CE319D451}" uniqueName="9" name="Sub-Category" queryTableFieldId="9" dataDxfId="565" totalsRowDxfId="564"/>
    <tableColumn id="10" xr3:uid="{5EDD8441-62C9-4118-93DF-84ED193129E3}" uniqueName="10" name="Sales" queryTableFieldId="10" dataDxfId="563" totalsRowDxfId="562"/>
    <tableColumn id="11" xr3:uid="{E534B51C-9CA2-4226-93DE-A33C942E6078}" uniqueName="11" name="Quantity" queryTableFieldId="11" dataDxfId="561" totalsRowDxfId="560"/>
    <tableColumn id="12" xr3:uid="{350E45B9-96E4-4A8E-AD2A-23EF09EC391A}" uniqueName="12" name="Total_Revenue" queryTableFieldId="12" dataDxfId="559" totalsRowDxfId="558"/>
    <tableColumn id="13" xr3:uid="{DBD8D084-7A3E-45FC-B272-5DC2806E4F4E}" uniqueName="13" name="Discount" queryTableFieldId="13" dataDxfId="557" totalsRowDxfId="556"/>
    <tableColumn id="14" xr3:uid="{3618745C-6F52-4696-B7D1-F81A65C82F5C}" uniqueName="14" name="Profit" queryTableFieldId="14" dataDxfId="555" totalsRowDxfId="554"/>
    <tableColumn id="15" xr3:uid="{E4557039-A6CF-4986-A5D7-4062D187FBA7}" uniqueName="15" name="Delivery Time " queryTableFieldId="15" dataDxfId="553" totalsRowDxfId="552">
      <calculatedColumnFormula>C2-B2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61BD59-6F91-4B66-AF8D-52D41EC18C69}" name="Table10" displayName="Table10" ref="A41:C47" totalsRowShown="0" dataDxfId="526">
  <autoFilter ref="A41:C47" xr:uid="{5D61BD59-6F91-4B66-AF8D-52D41EC18C69}"/>
  <sortState xmlns:xlrd2="http://schemas.microsoft.com/office/spreadsheetml/2017/richdata2" ref="A42:C47">
    <sortCondition ref="C41:C47"/>
  </sortState>
  <tableColumns count="3">
    <tableColumn id="1" xr3:uid="{470D5273-27EA-4703-8FC5-575DE109FDE8}" name="Row Labels" dataDxfId="525"/>
    <tableColumn id="2" xr3:uid="{8CCBE1BA-2561-4CD9-87F2-045085F5CA1D}" name="Sum of Sales" dataDxfId="524"/>
    <tableColumn id="3" xr3:uid="{1B59BA9E-2F51-4B11-98A9-1CF7E300BF39}" name="Sum of Profit" dataDxfId="5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206ACA-B725-4963-A6E8-D6588D2051AA}" name="Table11" displayName="Table11" ref="A11:B91" totalsRowShown="0" headerRowDxfId="510" dataDxfId="508" headerRowBorderDxfId="509" tableBorderDxfId="507" totalsRowBorderDxfId="506">
  <autoFilter ref="A11:B91" xr:uid="{B6206ACA-B725-4963-A6E8-D6588D2051AA}">
    <filterColumn colId="1">
      <filters>
        <filter val="-0.1"/>
        <filter val="-0.05"/>
      </filters>
    </filterColumn>
  </autoFilter>
  <tableColumns count="2">
    <tableColumn id="1" xr3:uid="{D789CD18-297B-4AAD-B0CB-569DE727E839}" name="Row Labels" dataDxfId="505"/>
    <tableColumn id="2" xr3:uid="{E8AB95EA-D16C-4C06-841E-8FF29B86938A}" name="Min of Profit" dataDxfId="50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107581-C4B9-4DC7-9934-569EC97F1476}" name="Table12" displayName="Table12" ref="A16:B22" totalsRowShown="0" headerRowDxfId="454" dataDxfId="452" headerRowBorderDxfId="453" tableBorderDxfId="451" totalsRowBorderDxfId="450">
  <autoFilter ref="A16:B22" xr:uid="{5B107581-C4B9-4DC7-9934-569EC97F1476}"/>
  <sortState xmlns:xlrd2="http://schemas.microsoft.com/office/spreadsheetml/2017/richdata2" ref="A17:B22">
    <sortCondition descending="1" ref="B16:B22"/>
  </sortState>
  <tableColumns count="2">
    <tableColumn id="1" xr3:uid="{2B7A133F-72DA-4FA5-A134-F03309B4EBA9}" name="Sub-Category" dataDxfId="449"/>
    <tableColumn id="2" xr3:uid="{F090F07A-7199-43A2-89E2-79068E3B7976}" name="Hieghest_Avg_Disc" dataDxfId="4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79E94-BEEB-4AA1-A447-68D8A6E04B91}" name="Table3" displayName="Table3" ref="A3:B83" totalsRowShown="0" headerRowDxfId="309" dataDxfId="308">
  <autoFilter ref="A3:B83" xr:uid="{12279E94-BEEB-4AA1-A447-68D8A6E04B91}">
    <filterColumn colId="1">
      <top10 val="10" filterVal="4.1177476004882078E-2"/>
    </filterColumn>
  </autoFilter>
  <sortState xmlns:xlrd2="http://schemas.microsoft.com/office/spreadsheetml/2017/richdata2" ref="A4:B83">
    <sortCondition descending="1" ref="B3:B83"/>
  </sortState>
  <tableColumns count="2">
    <tableColumn id="1" xr3:uid="{282ED234-DD32-47E6-B7AC-2CAC91CC7C3B}" name="Row Labels" dataDxfId="311"/>
    <tableColumn id="2" xr3:uid="{D25F5354-5A7F-461F-9354-C0A19ADF363D}" name="% of profit" dataDxfId="3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FF49F-4DC3-482F-99AA-E4D4242DC19F}" name="Table4" displayName="Table4" ref="A87:C167" totalsRowShown="0" headerRowDxfId="301" dataDxfId="300" headerRowBorderDxfId="306" tableBorderDxfId="307" totalsRowBorderDxfId="305">
  <autoFilter ref="A87:C167" xr:uid="{78BFF49F-4DC3-482F-99AA-E4D4242DC19F}">
    <filterColumn colId="2">
      <customFilters>
        <customFilter operator="lessThan" val="1"/>
      </customFilters>
    </filterColumn>
  </autoFilter>
  <tableColumns count="3">
    <tableColumn id="1" xr3:uid="{17EA058B-8EA5-4535-AC34-AFD99992C5AB}" name="Row Labels" dataDxfId="304"/>
    <tableColumn id="2" xr3:uid="{D0F2C5A6-9C1C-4878-B8EA-D5CE642856F3}" name="Sum of Discount" dataDxfId="303"/>
    <tableColumn id="3" xr3:uid="{6982CEB8-183B-4BB4-A896-604D0F4CFBAC}" name="Sum of Profit" dataDxfId="30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E5AA-079A-43C3-979D-97F2CCE99D29}">
  <dimension ref="A1:N101"/>
  <sheetViews>
    <sheetView workbookViewId="0">
      <selection sqref="A1:N10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21875" bestFit="1" customWidth="1"/>
    <col min="4" max="4" width="16.88671875" bestFit="1" customWidth="1"/>
    <col min="5" max="5" width="11.33203125" bestFit="1" customWidth="1"/>
    <col min="6" max="6" width="10.6640625" bestFit="1" customWidth="1"/>
    <col min="7" max="7" width="7.5546875" bestFit="1" customWidth="1"/>
    <col min="8" max="8" width="13.109375" bestFit="1" customWidth="1"/>
    <col min="9" max="9" width="14.6640625" bestFit="1" customWidth="1"/>
    <col min="10" max="10" width="7.44140625" bestFit="1" customWidth="1"/>
    <col min="11" max="12" width="10.5546875" bestFit="1" customWidth="1"/>
    <col min="13" max="13" width="7.88671875" bestFit="1" customWidth="1"/>
    <col min="14" max="14" width="12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44951</v>
      </c>
      <c r="C2" s="1">
        <v>44953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-200</v>
      </c>
      <c r="K2">
        <v>5</v>
      </c>
      <c r="L2">
        <v>0</v>
      </c>
      <c r="M2">
        <v>5446</v>
      </c>
      <c r="N2" t="s">
        <v>21</v>
      </c>
    </row>
    <row r="3" spans="1:14" x14ac:dyDescent="0.3">
      <c r="A3" t="s">
        <v>22</v>
      </c>
      <c r="B3" s="1">
        <v>44935</v>
      </c>
      <c r="C3" s="1">
        <v>44941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20808</v>
      </c>
      <c r="K3">
        <v>2</v>
      </c>
      <c r="L3">
        <v>0.1</v>
      </c>
      <c r="M3">
        <v>-524</v>
      </c>
    </row>
    <row r="4" spans="1:14" x14ac:dyDescent="0.3">
      <c r="A4" t="s">
        <v>29</v>
      </c>
      <c r="B4" s="1">
        <v>44928</v>
      </c>
      <c r="C4" s="1">
        <v>44933</v>
      </c>
      <c r="D4" t="s">
        <v>30</v>
      </c>
      <c r="E4" t="s">
        <v>24</v>
      </c>
      <c r="F4" t="s">
        <v>31</v>
      </c>
      <c r="G4" t="s">
        <v>32</v>
      </c>
      <c r="H4" t="s">
        <v>19</v>
      </c>
      <c r="I4" t="s">
        <v>33</v>
      </c>
      <c r="J4">
        <v>-200</v>
      </c>
      <c r="K4">
        <v>3</v>
      </c>
      <c r="L4">
        <v>0</v>
      </c>
      <c r="N4" t="s">
        <v>21</v>
      </c>
    </row>
    <row r="5" spans="1:14" x14ac:dyDescent="0.3">
      <c r="A5" t="s">
        <v>34</v>
      </c>
      <c r="B5" s="1">
        <v>44959</v>
      </c>
      <c r="C5" s="1">
        <v>44964</v>
      </c>
      <c r="D5" t="s">
        <v>35</v>
      </c>
      <c r="E5" t="s">
        <v>16</v>
      </c>
      <c r="F5" t="s">
        <v>36</v>
      </c>
      <c r="G5" t="s">
        <v>32</v>
      </c>
      <c r="H5" t="s">
        <v>27</v>
      </c>
      <c r="I5" t="s">
        <v>20</v>
      </c>
      <c r="J5">
        <v>44368</v>
      </c>
      <c r="K5">
        <v>5</v>
      </c>
      <c r="N5" t="s">
        <v>37</v>
      </c>
    </row>
    <row r="6" spans="1:14" x14ac:dyDescent="0.3">
      <c r="A6" t="s">
        <v>38</v>
      </c>
      <c r="B6" s="1">
        <v>44943</v>
      </c>
      <c r="C6" s="1">
        <v>44946</v>
      </c>
      <c r="E6" t="s">
        <v>24</v>
      </c>
      <c r="F6" t="s">
        <v>39</v>
      </c>
      <c r="G6" t="s">
        <v>18</v>
      </c>
      <c r="H6" t="s">
        <v>27</v>
      </c>
      <c r="I6" t="s">
        <v>40</v>
      </c>
      <c r="J6">
        <v>30679</v>
      </c>
      <c r="K6">
        <v>10</v>
      </c>
      <c r="L6">
        <v>0.2</v>
      </c>
    </row>
    <row r="7" spans="1:14" x14ac:dyDescent="0.3">
      <c r="A7" t="s">
        <v>41</v>
      </c>
      <c r="B7" s="1">
        <v>44943</v>
      </c>
      <c r="C7" s="1">
        <v>44944</v>
      </c>
      <c r="D7" t="s">
        <v>15</v>
      </c>
      <c r="E7" t="s">
        <v>42</v>
      </c>
      <c r="F7" t="s">
        <v>39</v>
      </c>
      <c r="H7" t="s">
        <v>27</v>
      </c>
      <c r="I7" t="s">
        <v>40</v>
      </c>
      <c r="K7">
        <v>9</v>
      </c>
      <c r="L7">
        <v>0</v>
      </c>
      <c r="N7" t="s">
        <v>43</v>
      </c>
    </row>
    <row r="8" spans="1:14" x14ac:dyDescent="0.3">
      <c r="A8" t="s">
        <v>44</v>
      </c>
      <c r="B8" s="1">
        <v>44941</v>
      </c>
      <c r="C8" s="1">
        <v>44945</v>
      </c>
      <c r="E8" t="s">
        <v>16</v>
      </c>
      <c r="F8" t="s">
        <v>39</v>
      </c>
      <c r="G8" t="s">
        <v>26</v>
      </c>
      <c r="H8" t="s">
        <v>45</v>
      </c>
      <c r="I8" t="s">
        <v>20</v>
      </c>
      <c r="J8">
        <v>3761</v>
      </c>
      <c r="K8">
        <v>5</v>
      </c>
      <c r="L8">
        <v>0.2</v>
      </c>
      <c r="M8">
        <v>-1062</v>
      </c>
    </row>
    <row r="9" spans="1:14" x14ac:dyDescent="0.3">
      <c r="A9" t="s">
        <v>46</v>
      </c>
      <c r="B9" s="1">
        <v>44948</v>
      </c>
      <c r="C9" s="1">
        <v>44954</v>
      </c>
      <c r="D9" t="s">
        <v>35</v>
      </c>
      <c r="E9" t="s">
        <v>24</v>
      </c>
      <c r="G9" t="s">
        <v>26</v>
      </c>
      <c r="H9" t="s">
        <v>19</v>
      </c>
      <c r="I9" t="s">
        <v>33</v>
      </c>
      <c r="J9">
        <v>20756</v>
      </c>
      <c r="K9">
        <v>5</v>
      </c>
      <c r="L9">
        <v>0.05</v>
      </c>
      <c r="N9" t="s">
        <v>21</v>
      </c>
    </row>
    <row r="10" spans="1:14" x14ac:dyDescent="0.3">
      <c r="A10" t="s">
        <v>47</v>
      </c>
      <c r="B10" s="1">
        <v>44982</v>
      </c>
      <c r="C10" s="1">
        <v>44989</v>
      </c>
      <c r="D10" t="s">
        <v>48</v>
      </c>
      <c r="E10" t="s">
        <v>42</v>
      </c>
      <c r="F10" t="s">
        <v>39</v>
      </c>
      <c r="H10" t="s">
        <v>19</v>
      </c>
      <c r="I10" t="s">
        <v>28</v>
      </c>
      <c r="J10">
        <v>41630</v>
      </c>
      <c r="K10">
        <v>7</v>
      </c>
      <c r="L10">
        <v>0.05</v>
      </c>
      <c r="M10">
        <v>6761</v>
      </c>
      <c r="N10" t="s">
        <v>21</v>
      </c>
    </row>
    <row r="11" spans="1:14" x14ac:dyDescent="0.3">
      <c r="A11" t="s">
        <v>49</v>
      </c>
      <c r="B11" s="1">
        <v>44947</v>
      </c>
      <c r="C11" s="1">
        <v>44951</v>
      </c>
      <c r="D11" t="s">
        <v>50</v>
      </c>
      <c r="E11" t="s">
        <v>24</v>
      </c>
      <c r="F11" t="s">
        <v>39</v>
      </c>
      <c r="H11" t="s">
        <v>45</v>
      </c>
      <c r="I11" t="s">
        <v>51</v>
      </c>
      <c r="J11">
        <v>10029</v>
      </c>
      <c r="K11">
        <v>9</v>
      </c>
      <c r="L11">
        <v>0</v>
      </c>
      <c r="N11" t="s">
        <v>21</v>
      </c>
    </row>
    <row r="12" spans="1:14" x14ac:dyDescent="0.3">
      <c r="A12" t="s">
        <v>52</v>
      </c>
      <c r="B12" s="1">
        <v>44953</v>
      </c>
      <c r="C12" s="1">
        <v>44960</v>
      </c>
      <c r="D12" t="s">
        <v>15</v>
      </c>
      <c r="E12" t="s">
        <v>42</v>
      </c>
      <c r="G12" t="s">
        <v>26</v>
      </c>
      <c r="H12" t="s">
        <v>27</v>
      </c>
      <c r="I12" t="s">
        <v>20</v>
      </c>
      <c r="J12">
        <v>-200</v>
      </c>
      <c r="K12">
        <v>5</v>
      </c>
      <c r="L12">
        <v>0.2</v>
      </c>
      <c r="M12">
        <v>3447</v>
      </c>
      <c r="N12" t="s">
        <v>37</v>
      </c>
    </row>
    <row r="13" spans="1:14" x14ac:dyDescent="0.3">
      <c r="A13" t="s">
        <v>53</v>
      </c>
      <c r="B13" s="1">
        <v>44946</v>
      </c>
      <c r="C13" s="1">
        <v>44948</v>
      </c>
      <c r="D13" t="s">
        <v>54</v>
      </c>
      <c r="E13" t="s">
        <v>16</v>
      </c>
      <c r="F13" t="s">
        <v>39</v>
      </c>
      <c r="H13" t="s">
        <v>27</v>
      </c>
      <c r="I13" t="s">
        <v>40</v>
      </c>
      <c r="J13">
        <v>44328</v>
      </c>
      <c r="K13">
        <v>9</v>
      </c>
      <c r="N13" t="s">
        <v>21</v>
      </c>
    </row>
    <row r="14" spans="1:14" x14ac:dyDescent="0.3">
      <c r="A14" t="s">
        <v>55</v>
      </c>
      <c r="B14" s="1">
        <v>44929</v>
      </c>
      <c r="C14" s="1"/>
      <c r="E14" t="s">
        <v>24</v>
      </c>
      <c r="F14" t="s">
        <v>39</v>
      </c>
      <c r="G14" t="s">
        <v>26</v>
      </c>
      <c r="H14" t="s">
        <v>45</v>
      </c>
      <c r="I14" t="s">
        <v>28</v>
      </c>
      <c r="K14">
        <v>1</v>
      </c>
      <c r="L14">
        <v>0</v>
      </c>
      <c r="N14" t="s">
        <v>37</v>
      </c>
    </row>
    <row r="15" spans="1:14" x14ac:dyDescent="0.3">
      <c r="A15" t="s">
        <v>56</v>
      </c>
      <c r="B15" s="1">
        <v>44975</v>
      </c>
      <c r="C15" s="1">
        <v>44981</v>
      </c>
      <c r="D15" t="s">
        <v>35</v>
      </c>
      <c r="E15" t="s">
        <v>24</v>
      </c>
      <c r="F15" t="s">
        <v>57</v>
      </c>
      <c r="H15" t="s">
        <v>19</v>
      </c>
      <c r="I15" t="s">
        <v>28</v>
      </c>
      <c r="K15">
        <v>7</v>
      </c>
      <c r="L15">
        <v>0.1</v>
      </c>
      <c r="N15" t="s">
        <v>43</v>
      </c>
    </row>
    <row r="16" spans="1:14" x14ac:dyDescent="0.3">
      <c r="A16" t="s">
        <v>58</v>
      </c>
      <c r="B16" s="1">
        <v>44951</v>
      </c>
      <c r="C16" s="1"/>
      <c r="D16" t="s">
        <v>50</v>
      </c>
      <c r="E16" t="s">
        <v>42</v>
      </c>
      <c r="F16" t="s">
        <v>25</v>
      </c>
      <c r="H16" t="s">
        <v>27</v>
      </c>
      <c r="I16" t="s">
        <v>33</v>
      </c>
      <c r="J16">
        <v>-200</v>
      </c>
      <c r="K16">
        <v>8</v>
      </c>
      <c r="M16">
        <v>3814</v>
      </c>
    </row>
    <row r="17" spans="1:14" x14ac:dyDescent="0.3">
      <c r="A17" t="s">
        <v>59</v>
      </c>
      <c r="B17" s="1">
        <v>44971</v>
      </c>
      <c r="C17" s="1">
        <v>44978</v>
      </c>
      <c r="D17" t="s">
        <v>48</v>
      </c>
      <c r="E17" t="s">
        <v>42</v>
      </c>
      <c r="F17" t="s">
        <v>25</v>
      </c>
      <c r="G17" t="s">
        <v>26</v>
      </c>
      <c r="H17" t="s">
        <v>27</v>
      </c>
      <c r="I17" t="s">
        <v>33</v>
      </c>
      <c r="J17">
        <v>3756</v>
      </c>
      <c r="K17">
        <v>4</v>
      </c>
      <c r="L17">
        <v>0.2</v>
      </c>
      <c r="M17">
        <v>-341</v>
      </c>
    </row>
    <row r="18" spans="1:14" x14ac:dyDescent="0.3">
      <c r="A18" t="s">
        <v>60</v>
      </c>
      <c r="B18" s="1">
        <v>44942</v>
      </c>
      <c r="C18" s="1">
        <v>44947</v>
      </c>
      <c r="D18" t="s">
        <v>30</v>
      </c>
      <c r="E18" t="s">
        <v>24</v>
      </c>
      <c r="F18" t="s">
        <v>17</v>
      </c>
      <c r="G18" t="s">
        <v>26</v>
      </c>
      <c r="H18" t="s">
        <v>45</v>
      </c>
      <c r="I18" t="s">
        <v>28</v>
      </c>
      <c r="K18">
        <v>2</v>
      </c>
      <c r="L18">
        <v>0.1</v>
      </c>
      <c r="M18">
        <v>6242</v>
      </c>
      <c r="N18" t="s">
        <v>21</v>
      </c>
    </row>
    <row r="19" spans="1:14" x14ac:dyDescent="0.3">
      <c r="A19" t="s">
        <v>61</v>
      </c>
      <c r="B19" s="1">
        <v>44927</v>
      </c>
      <c r="C19" s="1">
        <v>44934</v>
      </c>
      <c r="D19" t="s">
        <v>35</v>
      </c>
      <c r="E19" t="s">
        <v>24</v>
      </c>
      <c r="F19" t="s">
        <v>17</v>
      </c>
      <c r="G19" t="s">
        <v>62</v>
      </c>
      <c r="H19" t="s">
        <v>27</v>
      </c>
      <c r="I19" t="s">
        <v>20</v>
      </c>
      <c r="J19">
        <v>-200</v>
      </c>
      <c r="K19">
        <v>7</v>
      </c>
      <c r="M19">
        <v>-1045</v>
      </c>
      <c r="N19" t="s">
        <v>43</v>
      </c>
    </row>
    <row r="20" spans="1:14" x14ac:dyDescent="0.3">
      <c r="A20" t="s">
        <v>63</v>
      </c>
      <c r="B20" s="1">
        <v>44960</v>
      </c>
      <c r="C20" s="1">
        <v>44963</v>
      </c>
      <c r="E20" t="s">
        <v>24</v>
      </c>
      <c r="F20" t="s">
        <v>39</v>
      </c>
      <c r="G20" t="s">
        <v>62</v>
      </c>
      <c r="H20" t="s">
        <v>45</v>
      </c>
      <c r="I20" t="s">
        <v>51</v>
      </c>
      <c r="J20">
        <v>17251</v>
      </c>
      <c r="K20">
        <v>8</v>
      </c>
      <c r="L20">
        <v>0.2</v>
      </c>
      <c r="N20" t="s">
        <v>37</v>
      </c>
    </row>
    <row r="21" spans="1:14" x14ac:dyDescent="0.3">
      <c r="A21" t="s">
        <v>64</v>
      </c>
      <c r="B21" s="1">
        <v>44959</v>
      </c>
      <c r="C21" s="1">
        <v>44964</v>
      </c>
      <c r="D21" t="s">
        <v>30</v>
      </c>
      <c r="E21" t="s">
        <v>16</v>
      </c>
      <c r="F21" t="s">
        <v>57</v>
      </c>
      <c r="G21" t="s">
        <v>62</v>
      </c>
      <c r="H21" t="s">
        <v>45</v>
      </c>
      <c r="I21" t="s">
        <v>28</v>
      </c>
      <c r="K21">
        <v>4</v>
      </c>
      <c r="L21">
        <v>0</v>
      </c>
    </row>
    <row r="22" spans="1:14" x14ac:dyDescent="0.3">
      <c r="A22" t="s">
        <v>65</v>
      </c>
      <c r="B22" s="1">
        <v>44929</v>
      </c>
      <c r="C22" s="1">
        <v>44935</v>
      </c>
      <c r="D22" t="s">
        <v>15</v>
      </c>
      <c r="E22" t="s">
        <v>16</v>
      </c>
      <c r="F22" t="s">
        <v>25</v>
      </c>
      <c r="G22" t="s">
        <v>32</v>
      </c>
      <c r="H22" t="s">
        <v>45</v>
      </c>
      <c r="I22" t="s">
        <v>28</v>
      </c>
      <c r="J22">
        <v>-200</v>
      </c>
      <c r="K22">
        <v>6</v>
      </c>
      <c r="L22">
        <v>0.2</v>
      </c>
    </row>
    <row r="23" spans="1:14" x14ac:dyDescent="0.3">
      <c r="A23" t="s">
        <v>66</v>
      </c>
      <c r="B23" s="1">
        <v>44939</v>
      </c>
      <c r="C23" s="1">
        <v>44940</v>
      </c>
      <c r="D23" t="s">
        <v>23</v>
      </c>
      <c r="E23" t="s">
        <v>24</v>
      </c>
      <c r="F23" t="s">
        <v>31</v>
      </c>
      <c r="G23" t="s">
        <v>32</v>
      </c>
      <c r="H23" t="s">
        <v>45</v>
      </c>
      <c r="I23" t="s">
        <v>51</v>
      </c>
      <c r="J23">
        <v>43210</v>
      </c>
      <c r="K23">
        <v>2</v>
      </c>
      <c r="L23">
        <v>0.2</v>
      </c>
      <c r="N23" t="s">
        <v>21</v>
      </c>
    </row>
    <row r="24" spans="1:14" x14ac:dyDescent="0.3">
      <c r="A24" t="s">
        <v>67</v>
      </c>
      <c r="B24" s="1">
        <v>44933</v>
      </c>
      <c r="C24" s="1">
        <v>44940</v>
      </c>
      <c r="D24" t="s">
        <v>30</v>
      </c>
      <c r="E24" t="s">
        <v>16</v>
      </c>
      <c r="F24" t="s">
        <v>36</v>
      </c>
      <c r="G24" t="s">
        <v>32</v>
      </c>
      <c r="H24" t="s">
        <v>19</v>
      </c>
      <c r="I24" t="s">
        <v>28</v>
      </c>
      <c r="J24">
        <v>41010</v>
      </c>
      <c r="K24">
        <v>7</v>
      </c>
      <c r="L24">
        <v>0.2</v>
      </c>
      <c r="M24">
        <v>6485</v>
      </c>
      <c r="N24" t="s">
        <v>43</v>
      </c>
    </row>
    <row r="25" spans="1:14" x14ac:dyDescent="0.3">
      <c r="A25" t="s">
        <v>68</v>
      </c>
      <c r="B25" s="1">
        <v>44942</v>
      </c>
      <c r="C25" s="1">
        <v>44944</v>
      </c>
      <c r="D25" t="s">
        <v>30</v>
      </c>
      <c r="E25" t="s">
        <v>24</v>
      </c>
      <c r="F25" t="s">
        <v>57</v>
      </c>
      <c r="G25" t="s">
        <v>62</v>
      </c>
      <c r="H25" t="s">
        <v>45</v>
      </c>
      <c r="I25" t="s">
        <v>20</v>
      </c>
      <c r="K25">
        <v>10</v>
      </c>
      <c r="L25">
        <v>0.1</v>
      </c>
      <c r="M25">
        <v>4847</v>
      </c>
      <c r="N25" t="s">
        <v>21</v>
      </c>
    </row>
    <row r="26" spans="1:14" x14ac:dyDescent="0.3">
      <c r="A26" t="s">
        <v>69</v>
      </c>
      <c r="B26" s="1">
        <v>44935</v>
      </c>
      <c r="C26" s="1"/>
      <c r="D26" t="s">
        <v>54</v>
      </c>
      <c r="E26" t="s">
        <v>42</v>
      </c>
      <c r="G26" t="s">
        <v>26</v>
      </c>
      <c r="H26" t="s">
        <v>27</v>
      </c>
      <c r="I26" t="s">
        <v>51</v>
      </c>
      <c r="J26">
        <v>30689</v>
      </c>
      <c r="K26">
        <v>6</v>
      </c>
      <c r="L26">
        <v>0.1</v>
      </c>
      <c r="M26">
        <v>2921</v>
      </c>
      <c r="N26" t="s">
        <v>37</v>
      </c>
    </row>
    <row r="27" spans="1:14" x14ac:dyDescent="0.3">
      <c r="A27" t="s">
        <v>70</v>
      </c>
      <c r="B27" s="1">
        <v>44946</v>
      </c>
      <c r="C27" s="1">
        <v>44950</v>
      </c>
      <c r="D27" t="s">
        <v>50</v>
      </c>
      <c r="E27" t="s">
        <v>16</v>
      </c>
      <c r="F27" t="s">
        <v>39</v>
      </c>
      <c r="H27" t="s">
        <v>45</v>
      </c>
      <c r="I27" t="s">
        <v>51</v>
      </c>
      <c r="J27">
        <v>-200</v>
      </c>
      <c r="K27">
        <v>2</v>
      </c>
      <c r="L27">
        <v>0.2</v>
      </c>
    </row>
    <row r="28" spans="1:14" x14ac:dyDescent="0.3">
      <c r="A28" t="s">
        <v>71</v>
      </c>
      <c r="B28" s="1">
        <v>44976</v>
      </c>
      <c r="C28" s="1">
        <v>44977</v>
      </c>
      <c r="D28" t="s">
        <v>30</v>
      </c>
      <c r="E28" t="s">
        <v>24</v>
      </c>
      <c r="F28" t="s">
        <v>39</v>
      </c>
      <c r="G28" t="s">
        <v>32</v>
      </c>
      <c r="H28" t="s">
        <v>27</v>
      </c>
      <c r="I28" t="s">
        <v>40</v>
      </c>
      <c r="J28">
        <v>-200</v>
      </c>
      <c r="K28">
        <v>8</v>
      </c>
    </row>
    <row r="29" spans="1:14" x14ac:dyDescent="0.3">
      <c r="A29" t="s">
        <v>72</v>
      </c>
      <c r="B29" s="1">
        <v>44945</v>
      </c>
      <c r="C29" s="1">
        <v>44946</v>
      </c>
      <c r="D29" t="s">
        <v>54</v>
      </c>
      <c r="E29" t="s">
        <v>16</v>
      </c>
      <c r="F29" t="s">
        <v>36</v>
      </c>
      <c r="H29" t="s">
        <v>45</v>
      </c>
      <c r="I29" t="s">
        <v>73</v>
      </c>
      <c r="J29">
        <v>55161</v>
      </c>
      <c r="K29">
        <v>2</v>
      </c>
      <c r="N29" t="s">
        <v>37</v>
      </c>
    </row>
    <row r="30" spans="1:14" x14ac:dyDescent="0.3">
      <c r="A30" t="s">
        <v>74</v>
      </c>
      <c r="B30" s="1">
        <v>44982</v>
      </c>
      <c r="C30" s="1">
        <v>44988</v>
      </c>
      <c r="D30" t="s">
        <v>23</v>
      </c>
      <c r="E30" t="s">
        <v>24</v>
      </c>
      <c r="G30" t="s">
        <v>18</v>
      </c>
      <c r="H30" t="s">
        <v>27</v>
      </c>
      <c r="I30" t="s">
        <v>40</v>
      </c>
      <c r="J30">
        <v>-200</v>
      </c>
      <c r="K30">
        <v>9</v>
      </c>
      <c r="L30">
        <v>0</v>
      </c>
      <c r="M30">
        <v>3429</v>
      </c>
    </row>
    <row r="31" spans="1:14" x14ac:dyDescent="0.3">
      <c r="A31" t="s">
        <v>75</v>
      </c>
      <c r="B31" s="1">
        <v>44936</v>
      </c>
      <c r="C31" s="1"/>
      <c r="D31" t="s">
        <v>23</v>
      </c>
      <c r="E31" t="s">
        <v>24</v>
      </c>
      <c r="F31" t="s">
        <v>36</v>
      </c>
      <c r="G31" t="s">
        <v>32</v>
      </c>
      <c r="H31" t="s">
        <v>45</v>
      </c>
      <c r="I31" t="s">
        <v>51</v>
      </c>
      <c r="J31">
        <v>-200</v>
      </c>
      <c r="K31">
        <v>8</v>
      </c>
      <c r="M31">
        <v>4285</v>
      </c>
      <c r="N31" t="s">
        <v>37</v>
      </c>
    </row>
    <row r="32" spans="1:14" x14ac:dyDescent="0.3">
      <c r="A32" t="s">
        <v>76</v>
      </c>
      <c r="B32" s="1">
        <v>44956</v>
      </c>
      <c r="C32" s="1">
        <v>44962</v>
      </c>
      <c r="D32" t="s">
        <v>54</v>
      </c>
      <c r="E32" t="s">
        <v>24</v>
      </c>
      <c r="F32" t="s">
        <v>25</v>
      </c>
      <c r="H32" t="s">
        <v>19</v>
      </c>
      <c r="I32" t="s">
        <v>51</v>
      </c>
      <c r="K32">
        <v>9</v>
      </c>
      <c r="N32" t="s">
        <v>37</v>
      </c>
    </row>
    <row r="33" spans="1:14" x14ac:dyDescent="0.3">
      <c r="A33" t="s">
        <v>77</v>
      </c>
      <c r="B33" s="1">
        <v>44979</v>
      </c>
      <c r="C33" s="1">
        <v>44986</v>
      </c>
      <c r="E33" t="s">
        <v>24</v>
      </c>
      <c r="F33" t="s">
        <v>57</v>
      </c>
      <c r="G33" t="s">
        <v>26</v>
      </c>
      <c r="H33" t="s">
        <v>45</v>
      </c>
      <c r="I33" t="s">
        <v>73</v>
      </c>
      <c r="J33">
        <v>35633</v>
      </c>
      <c r="K33">
        <v>2</v>
      </c>
    </row>
    <row r="34" spans="1:14" x14ac:dyDescent="0.3">
      <c r="A34" t="s">
        <v>78</v>
      </c>
      <c r="B34" s="1">
        <v>44967</v>
      </c>
      <c r="C34" s="1">
        <v>44969</v>
      </c>
      <c r="D34" t="s">
        <v>54</v>
      </c>
      <c r="E34" t="s">
        <v>42</v>
      </c>
      <c r="F34" t="s">
        <v>31</v>
      </c>
      <c r="G34" t="s">
        <v>26</v>
      </c>
      <c r="H34" t="s">
        <v>45</v>
      </c>
      <c r="I34" t="s">
        <v>20</v>
      </c>
      <c r="J34">
        <v>-200</v>
      </c>
      <c r="K34">
        <v>5</v>
      </c>
      <c r="L34">
        <v>0.2</v>
      </c>
    </row>
    <row r="35" spans="1:14" x14ac:dyDescent="0.3">
      <c r="A35" t="s">
        <v>79</v>
      </c>
      <c r="B35" s="1">
        <v>44949</v>
      </c>
      <c r="C35" s="1"/>
      <c r="D35" t="s">
        <v>48</v>
      </c>
      <c r="E35" t="s">
        <v>16</v>
      </c>
      <c r="F35" t="s">
        <v>17</v>
      </c>
      <c r="G35" t="s">
        <v>18</v>
      </c>
      <c r="H35" t="s">
        <v>27</v>
      </c>
      <c r="I35" t="s">
        <v>28</v>
      </c>
      <c r="J35">
        <v>-200</v>
      </c>
      <c r="K35">
        <v>6</v>
      </c>
      <c r="L35">
        <v>0.05</v>
      </c>
    </row>
    <row r="36" spans="1:14" x14ac:dyDescent="0.3">
      <c r="A36" t="s">
        <v>80</v>
      </c>
      <c r="B36" s="1">
        <v>44947</v>
      </c>
      <c r="C36" s="1"/>
      <c r="D36" t="s">
        <v>54</v>
      </c>
      <c r="E36" t="s">
        <v>16</v>
      </c>
      <c r="F36" t="s">
        <v>39</v>
      </c>
      <c r="H36" t="s">
        <v>19</v>
      </c>
      <c r="I36" t="s">
        <v>28</v>
      </c>
      <c r="J36">
        <v>30387</v>
      </c>
      <c r="K36">
        <v>10</v>
      </c>
      <c r="L36">
        <v>0.05</v>
      </c>
      <c r="N36" t="s">
        <v>21</v>
      </c>
    </row>
    <row r="37" spans="1:14" x14ac:dyDescent="0.3">
      <c r="A37" t="s">
        <v>81</v>
      </c>
      <c r="B37" s="1">
        <v>44986</v>
      </c>
      <c r="C37" s="1">
        <v>44990</v>
      </c>
      <c r="D37" t="s">
        <v>15</v>
      </c>
      <c r="E37" t="s">
        <v>24</v>
      </c>
      <c r="F37" t="s">
        <v>57</v>
      </c>
      <c r="H37" t="s">
        <v>45</v>
      </c>
      <c r="I37" t="s">
        <v>73</v>
      </c>
      <c r="J37">
        <v>-200</v>
      </c>
      <c r="K37">
        <v>1</v>
      </c>
    </row>
    <row r="38" spans="1:14" x14ac:dyDescent="0.3">
      <c r="A38" t="s">
        <v>82</v>
      </c>
      <c r="B38" s="1">
        <v>44951</v>
      </c>
      <c r="C38" s="1">
        <v>44957</v>
      </c>
      <c r="D38" t="s">
        <v>15</v>
      </c>
      <c r="E38" t="s">
        <v>24</v>
      </c>
      <c r="G38" t="s">
        <v>62</v>
      </c>
      <c r="H38" t="s">
        <v>45</v>
      </c>
      <c r="I38" t="s">
        <v>28</v>
      </c>
      <c r="K38">
        <v>8</v>
      </c>
      <c r="L38">
        <v>0.1</v>
      </c>
      <c r="N38" t="s">
        <v>21</v>
      </c>
    </row>
    <row r="39" spans="1:14" x14ac:dyDescent="0.3">
      <c r="A39" t="s">
        <v>83</v>
      </c>
      <c r="B39" s="1">
        <v>44985</v>
      </c>
      <c r="C39" s="1">
        <v>44987</v>
      </c>
      <c r="D39" t="s">
        <v>23</v>
      </c>
      <c r="E39" t="s">
        <v>24</v>
      </c>
      <c r="F39" t="s">
        <v>17</v>
      </c>
      <c r="G39" t="s">
        <v>18</v>
      </c>
      <c r="H39" t="s">
        <v>19</v>
      </c>
      <c r="I39" t="s">
        <v>28</v>
      </c>
      <c r="J39">
        <v>22479</v>
      </c>
      <c r="K39">
        <v>3</v>
      </c>
      <c r="L39">
        <v>0.1</v>
      </c>
      <c r="N39" t="s">
        <v>21</v>
      </c>
    </row>
    <row r="40" spans="1:14" x14ac:dyDescent="0.3">
      <c r="A40" t="s">
        <v>84</v>
      </c>
      <c r="B40" s="1">
        <v>44939</v>
      </c>
      <c r="C40" s="1">
        <v>44943</v>
      </c>
      <c r="E40" t="s">
        <v>24</v>
      </c>
      <c r="F40" t="s">
        <v>17</v>
      </c>
      <c r="G40" t="s">
        <v>26</v>
      </c>
      <c r="H40" t="s">
        <v>27</v>
      </c>
      <c r="I40" t="s">
        <v>51</v>
      </c>
      <c r="K40">
        <v>3</v>
      </c>
      <c r="L40">
        <v>0.05</v>
      </c>
    </row>
    <row r="41" spans="1:14" x14ac:dyDescent="0.3">
      <c r="A41" t="s">
        <v>85</v>
      </c>
      <c r="B41" s="1">
        <v>44976</v>
      </c>
      <c r="C41" s="1">
        <v>44980</v>
      </c>
      <c r="D41" t="s">
        <v>48</v>
      </c>
      <c r="E41" t="s">
        <v>16</v>
      </c>
      <c r="G41" t="s">
        <v>18</v>
      </c>
      <c r="H41" t="s">
        <v>45</v>
      </c>
      <c r="I41" t="s">
        <v>73</v>
      </c>
      <c r="J41">
        <v>-200</v>
      </c>
      <c r="K41">
        <v>3</v>
      </c>
      <c r="L41">
        <v>0</v>
      </c>
      <c r="M41">
        <v>2721</v>
      </c>
    </row>
    <row r="42" spans="1:14" x14ac:dyDescent="0.3">
      <c r="A42" t="s">
        <v>86</v>
      </c>
      <c r="B42" s="1">
        <v>44964</v>
      </c>
      <c r="C42" s="1">
        <v>44966</v>
      </c>
      <c r="D42" t="s">
        <v>48</v>
      </c>
      <c r="E42" t="s">
        <v>24</v>
      </c>
      <c r="F42" t="s">
        <v>39</v>
      </c>
      <c r="G42" t="s">
        <v>26</v>
      </c>
      <c r="H42" t="s">
        <v>27</v>
      </c>
      <c r="I42" t="s">
        <v>73</v>
      </c>
      <c r="K42">
        <v>4</v>
      </c>
      <c r="L42">
        <v>0.1</v>
      </c>
      <c r="N42" t="s">
        <v>37</v>
      </c>
    </row>
    <row r="43" spans="1:14" x14ac:dyDescent="0.3">
      <c r="A43" t="s">
        <v>87</v>
      </c>
      <c r="B43" s="1">
        <v>44977</v>
      </c>
      <c r="C43" s="1">
        <v>44983</v>
      </c>
      <c r="D43" t="s">
        <v>35</v>
      </c>
      <c r="E43" t="s">
        <v>42</v>
      </c>
      <c r="F43" t="s">
        <v>57</v>
      </c>
      <c r="G43" t="s">
        <v>18</v>
      </c>
      <c r="H43" t="s">
        <v>45</v>
      </c>
      <c r="I43" t="s">
        <v>73</v>
      </c>
      <c r="K43">
        <v>5</v>
      </c>
      <c r="L43">
        <v>0.05</v>
      </c>
      <c r="N43" t="s">
        <v>43</v>
      </c>
    </row>
    <row r="44" spans="1:14" x14ac:dyDescent="0.3">
      <c r="A44" t="s">
        <v>88</v>
      </c>
      <c r="B44" s="1">
        <v>44946</v>
      </c>
      <c r="C44" s="1"/>
      <c r="D44" t="s">
        <v>15</v>
      </c>
      <c r="E44" t="s">
        <v>42</v>
      </c>
      <c r="F44" t="s">
        <v>25</v>
      </c>
      <c r="G44" t="s">
        <v>32</v>
      </c>
      <c r="H44" t="s">
        <v>19</v>
      </c>
      <c r="I44" t="s">
        <v>20</v>
      </c>
      <c r="J44">
        <v>57900</v>
      </c>
      <c r="K44">
        <v>8</v>
      </c>
      <c r="L44">
        <v>0.05</v>
      </c>
      <c r="N44" t="s">
        <v>43</v>
      </c>
    </row>
    <row r="45" spans="1:14" x14ac:dyDescent="0.3">
      <c r="A45" t="s">
        <v>89</v>
      </c>
      <c r="B45" s="1">
        <v>44966</v>
      </c>
      <c r="C45" s="1"/>
      <c r="D45" t="s">
        <v>23</v>
      </c>
      <c r="E45" t="s">
        <v>16</v>
      </c>
      <c r="F45" t="s">
        <v>57</v>
      </c>
      <c r="G45" t="s">
        <v>18</v>
      </c>
      <c r="H45" t="s">
        <v>27</v>
      </c>
      <c r="I45" t="s">
        <v>28</v>
      </c>
      <c r="J45">
        <v>-200</v>
      </c>
      <c r="K45">
        <v>8</v>
      </c>
      <c r="N45" t="s">
        <v>21</v>
      </c>
    </row>
    <row r="46" spans="1:14" x14ac:dyDescent="0.3">
      <c r="A46" t="s">
        <v>90</v>
      </c>
      <c r="B46" s="1">
        <v>44984</v>
      </c>
      <c r="C46" s="1">
        <v>44989</v>
      </c>
      <c r="D46" t="s">
        <v>48</v>
      </c>
      <c r="E46" t="s">
        <v>16</v>
      </c>
      <c r="F46" t="s">
        <v>36</v>
      </c>
      <c r="G46" t="s">
        <v>18</v>
      </c>
      <c r="H46" t="s">
        <v>45</v>
      </c>
      <c r="I46" t="s">
        <v>73</v>
      </c>
      <c r="J46">
        <v>-200</v>
      </c>
      <c r="K46">
        <v>3</v>
      </c>
      <c r="L46">
        <v>0</v>
      </c>
      <c r="M46">
        <v>3933</v>
      </c>
      <c r="N46" t="s">
        <v>37</v>
      </c>
    </row>
    <row r="47" spans="1:14" x14ac:dyDescent="0.3">
      <c r="A47" t="s">
        <v>91</v>
      </c>
      <c r="B47" s="1">
        <v>44958</v>
      </c>
      <c r="C47" s="1">
        <v>44961</v>
      </c>
      <c r="D47" t="s">
        <v>35</v>
      </c>
      <c r="E47" t="s">
        <v>24</v>
      </c>
      <c r="F47" t="s">
        <v>36</v>
      </c>
      <c r="H47" t="s">
        <v>19</v>
      </c>
      <c r="I47" t="s">
        <v>20</v>
      </c>
      <c r="K47">
        <v>9</v>
      </c>
      <c r="L47">
        <v>0.05</v>
      </c>
      <c r="N47" t="s">
        <v>37</v>
      </c>
    </row>
    <row r="48" spans="1:14" x14ac:dyDescent="0.3">
      <c r="A48" t="s">
        <v>92</v>
      </c>
      <c r="B48" s="1">
        <v>44928</v>
      </c>
      <c r="C48" s="1">
        <v>44935</v>
      </c>
      <c r="D48" t="s">
        <v>15</v>
      </c>
      <c r="E48" t="s">
        <v>42</v>
      </c>
      <c r="F48" t="s">
        <v>39</v>
      </c>
      <c r="G48" t="s">
        <v>26</v>
      </c>
      <c r="H48" t="s">
        <v>45</v>
      </c>
      <c r="I48" t="s">
        <v>28</v>
      </c>
      <c r="J48">
        <v>21824</v>
      </c>
      <c r="K48">
        <v>3</v>
      </c>
      <c r="N48" t="s">
        <v>43</v>
      </c>
    </row>
    <row r="49" spans="1:14" x14ac:dyDescent="0.3">
      <c r="A49" t="s">
        <v>93</v>
      </c>
      <c r="B49" s="1">
        <v>44943</v>
      </c>
      <c r="C49" s="1">
        <v>44946</v>
      </c>
      <c r="D49" t="s">
        <v>15</v>
      </c>
      <c r="E49" t="s">
        <v>42</v>
      </c>
      <c r="F49" t="s">
        <v>25</v>
      </c>
      <c r="G49" t="s">
        <v>62</v>
      </c>
      <c r="H49" t="s">
        <v>45</v>
      </c>
      <c r="I49" t="s">
        <v>51</v>
      </c>
      <c r="K49">
        <v>8</v>
      </c>
      <c r="L49">
        <v>0.1</v>
      </c>
      <c r="N49" t="s">
        <v>37</v>
      </c>
    </row>
    <row r="50" spans="1:14" x14ac:dyDescent="0.3">
      <c r="A50" t="s">
        <v>94</v>
      </c>
      <c r="B50" s="1">
        <v>44985</v>
      </c>
      <c r="C50" s="1">
        <v>44987</v>
      </c>
      <c r="D50" t="s">
        <v>50</v>
      </c>
      <c r="E50" t="s">
        <v>24</v>
      </c>
      <c r="F50" t="s">
        <v>25</v>
      </c>
      <c r="H50" t="s">
        <v>27</v>
      </c>
      <c r="I50" t="s">
        <v>51</v>
      </c>
      <c r="K50">
        <v>5</v>
      </c>
    </row>
    <row r="51" spans="1:14" x14ac:dyDescent="0.3">
      <c r="A51" t="s">
        <v>95</v>
      </c>
      <c r="B51" s="1">
        <v>44951</v>
      </c>
      <c r="C51" s="1">
        <v>44958</v>
      </c>
      <c r="D51" t="s">
        <v>54</v>
      </c>
      <c r="E51" t="s">
        <v>24</v>
      </c>
      <c r="F51" t="s">
        <v>25</v>
      </c>
      <c r="G51" t="s">
        <v>18</v>
      </c>
      <c r="H51" t="s">
        <v>19</v>
      </c>
      <c r="I51" t="s">
        <v>33</v>
      </c>
      <c r="K51">
        <v>2</v>
      </c>
      <c r="L51">
        <v>0.1</v>
      </c>
      <c r="M51">
        <v>4202</v>
      </c>
      <c r="N51" t="s">
        <v>21</v>
      </c>
    </row>
    <row r="52" spans="1:14" x14ac:dyDescent="0.3">
      <c r="A52" t="s">
        <v>96</v>
      </c>
      <c r="B52" s="1">
        <v>44971</v>
      </c>
      <c r="C52" s="1">
        <v>44974</v>
      </c>
      <c r="D52" t="s">
        <v>30</v>
      </c>
      <c r="E52" t="s">
        <v>42</v>
      </c>
      <c r="F52" t="s">
        <v>39</v>
      </c>
      <c r="G52" t="s">
        <v>32</v>
      </c>
      <c r="H52" t="s">
        <v>27</v>
      </c>
      <c r="I52" t="s">
        <v>28</v>
      </c>
      <c r="J52">
        <v>21801</v>
      </c>
      <c r="K52">
        <v>10</v>
      </c>
      <c r="L52">
        <v>0.1</v>
      </c>
      <c r="M52">
        <v>-347</v>
      </c>
    </row>
    <row r="53" spans="1:14" x14ac:dyDescent="0.3">
      <c r="A53" t="s">
        <v>97</v>
      </c>
      <c r="B53" s="1">
        <v>44975</v>
      </c>
      <c r="C53" s="1">
        <v>44980</v>
      </c>
      <c r="D53" t="s">
        <v>54</v>
      </c>
      <c r="E53" t="s">
        <v>42</v>
      </c>
      <c r="F53" t="s">
        <v>17</v>
      </c>
      <c r="G53" t="s">
        <v>18</v>
      </c>
      <c r="H53" t="s">
        <v>45</v>
      </c>
      <c r="I53" t="s">
        <v>33</v>
      </c>
      <c r="J53">
        <v>56299</v>
      </c>
      <c r="K53">
        <v>1</v>
      </c>
      <c r="L53">
        <v>0</v>
      </c>
      <c r="M53">
        <v>-3790</v>
      </c>
      <c r="N53" t="s">
        <v>37</v>
      </c>
    </row>
    <row r="54" spans="1:14" x14ac:dyDescent="0.3">
      <c r="A54" t="s">
        <v>98</v>
      </c>
      <c r="B54" s="1">
        <v>44951</v>
      </c>
      <c r="C54" s="1">
        <v>44954</v>
      </c>
      <c r="D54" t="s">
        <v>54</v>
      </c>
      <c r="E54" t="s">
        <v>16</v>
      </c>
      <c r="F54" t="s">
        <v>57</v>
      </c>
      <c r="H54" t="s">
        <v>19</v>
      </c>
      <c r="I54" t="s">
        <v>73</v>
      </c>
      <c r="K54">
        <v>7</v>
      </c>
      <c r="L54">
        <v>0.1</v>
      </c>
      <c r="M54">
        <v>6772</v>
      </c>
      <c r="N54" t="s">
        <v>37</v>
      </c>
    </row>
    <row r="55" spans="1:14" x14ac:dyDescent="0.3">
      <c r="A55" t="s">
        <v>99</v>
      </c>
      <c r="B55" s="1">
        <v>44977</v>
      </c>
      <c r="C55" s="1">
        <v>44979</v>
      </c>
      <c r="D55" t="s">
        <v>35</v>
      </c>
      <c r="E55" t="s">
        <v>24</v>
      </c>
      <c r="G55" t="s">
        <v>18</v>
      </c>
      <c r="H55" t="s">
        <v>19</v>
      </c>
      <c r="I55" t="s">
        <v>73</v>
      </c>
      <c r="K55">
        <v>1</v>
      </c>
      <c r="L55">
        <v>0.05</v>
      </c>
      <c r="N55" t="s">
        <v>43</v>
      </c>
    </row>
    <row r="56" spans="1:14" x14ac:dyDescent="0.3">
      <c r="A56" t="s">
        <v>100</v>
      </c>
      <c r="B56" s="1">
        <v>44930</v>
      </c>
      <c r="C56" s="1"/>
      <c r="D56" t="s">
        <v>30</v>
      </c>
      <c r="E56" t="s">
        <v>42</v>
      </c>
      <c r="F56" t="s">
        <v>31</v>
      </c>
      <c r="G56" t="s">
        <v>18</v>
      </c>
      <c r="H56" t="s">
        <v>19</v>
      </c>
      <c r="I56" t="s">
        <v>73</v>
      </c>
      <c r="K56">
        <v>4</v>
      </c>
      <c r="M56">
        <v>7948</v>
      </c>
    </row>
    <row r="57" spans="1:14" x14ac:dyDescent="0.3">
      <c r="A57" t="s">
        <v>101</v>
      </c>
      <c r="B57" s="1">
        <v>44972</v>
      </c>
      <c r="C57" s="1">
        <v>44977</v>
      </c>
      <c r="D57" t="s">
        <v>54</v>
      </c>
      <c r="E57" t="s">
        <v>42</v>
      </c>
      <c r="F57" t="s">
        <v>39</v>
      </c>
      <c r="H57" t="s">
        <v>19</v>
      </c>
      <c r="I57" t="s">
        <v>33</v>
      </c>
      <c r="J57">
        <v>-200</v>
      </c>
      <c r="K57">
        <v>10</v>
      </c>
      <c r="L57">
        <v>0</v>
      </c>
      <c r="N57" t="s">
        <v>21</v>
      </c>
    </row>
    <row r="58" spans="1:14" x14ac:dyDescent="0.3">
      <c r="A58" t="s">
        <v>102</v>
      </c>
      <c r="B58" s="1">
        <v>44942</v>
      </c>
      <c r="C58" s="1"/>
      <c r="E58" t="s">
        <v>24</v>
      </c>
      <c r="F58" t="s">
        <v>17</v>
      </c>
      <c r="G58" t="s">
        <v>18</v>
      </c>
      <c r="H58" t="s">
        <v>27</v>
      </c>
      <c r="I58" t="s">
        <v>73</v>
      </c>
      <c r="K58">
        <v>7</v>
      </c>
      <c r="L58">
        <v>0.05</v>
      </c>
      <c r="M58">
        <v>-914</v>
      </c>
      <c r="N58" t="s">
        <v>43</v>
      </c>
    </row>
    <row r="59" spans="1:14" x14ac:dyDescent="0.3">
      <c r="A59" t="s">
        <v>103</v>
      </c>
      <c r="B59" s="1">
        <v>44927</v>
      </c>
      <c r="C59" s="1">
        <v>44932</v>
      </c>
      <c r="D59" t="s">
        <v>23</v>
      </c>
      <c r="E59" t="s">
        <v>24</v>
      </c>
      <c r="F59" t="s">
        <v>39</v>
      </c>
      <c r="G59" t="s">
        <v>18</v>
      </c>
      <c r="H59" t="s">
        <v>27</v>
      </c>
      <c r="I59" t="s">
        <v>40</v>
      </c>
      <c r="J59">
        <v>18719</v>
      </c>
      <c r="K59">
        <v>4</v>
      </c>
      <c r="L59">
        <v>0.05</v>
      </c>
      <c r="M59">
        <v>5629</v>
      </c>
      <c r="N59" t="s">
        <v>37</v>
      </c>
    </row>
    <row r="60" spans="1:14" x14ac:dyDescent="0.3">
      <c r="A60" t="s">
        <v>104</v>
      </c>
      <c r="B60" s="1">
        <v>44959</v>
      </c>
      <c r="C60" s="1">
        <v>44963</v>
      </c>
      <c r="D60" t="s">
        <v>30</v>
      </c>
      <c r="E60" t="s">
        <v>42</v>
      </c>
      <c r="F60" t="s">
        <v>17</v>
      </c>
      <c r="G60" t="s">
        <v>26</v>
      </c>
      <c r="H60" t="s">
        <v>19</v>
      </c>
      <c r="I60" t="s">
        <v>40</v>
      </c>
      <c r="K60">
        <v>10</v>
      </c>
      <c r="L60">
        <v>0.1</v>
      </c>
      <c r="M60">
        <v>2566</v>
      </c>
    </row>
    <row r="61" spans="1:14" x14ac:dyDescent="0.3">
      <c r="A61" t="s">
        <v>105</v>
      </c>
      <c r="B61" s="1">
        <v>44973</v>
      </c>
      <c r="C61" s="1">
        <v>44974</v>
      </c>
      <c r="D61" t="s">
        <v>50</v>
      </c>
      <c r="E61" t="s">
        <v>42</v>
      </c>
      <c r="F61" t="s">
        <v>31</v>
      </c>
      <c r="G61" t="s">
        <v>32</v>
      </c>
      <c r="H61" t="s">
        <v>19</v>
      </c>
      <c r="I61" t="s">
        <v>51</v>
      </c>
      <c r="J61">
        <v>30157</v>
      </c>
      <c r="K61">
        <v>3</v>
      </c>
      <c r="L61">
        <v>0.2</v>
      </c>
      <c r="M61">
        <v>-713</v>
      </c>
    </row>
    <row r="62" spans="1:14" x14ac:dyDescent="0.3">
      <c r="A62" t="s">
        <v>106</v>
      </c>
      <c r="B62" s="1">
        <v>44940</v>
      </c>
      <c r="C62" s="1"/>
      <c r="E62" t="s">
        <v>16</v>
      </c>
      <c r="F62" t="s">
        <v>25</v>
      </c>
      <c r="H62" t="s">
        <v>45</v>
      </c>
      <c r="I62" t="s">
        <v>28</v>
      </c>
      <c r="K62">
        <v>10</v>
      </c>
      <c r="L62">
        <v>0.2</v>
      </c>
      <c r="M62">
        <v>2626</v>
      </c>
      <c r="N62" t="s">
        <v>21</v>
      </c>
    </row>
    <row r="63" spans="1:14" x14ac:dyDescent="0.3">
      <c r="A63" t="s">
        <v>107</v>
      </c>
      <c r="B63" s="1">
        <v>44950</v>
      </c>
      <c r="C63" s="1">
        <v>44951</v>
      </c>
      <c r="E63" t="s">
        <v>16</v>
      </c>
      <c r="F63" t="s">
        <v>39</v>
      </c>
      <c r="G63" t="s">
        <v>18</v>
      </c>
      <c r="H63" t="s">
        <v>19</v>
      </c>
      <c r="I63" t="s">
        <v>40</v>
      </c>
      <c r="K63">
        <v>9</v>
      </c>
      <c r="M63">
        <v>-1520</v>
      </c>
      <c r="N63" t="s">
        <v>21</v>
      </c>
    </row>
    <row r="64" spans="1:14" x14ac:dyDescent="0.3">
      <c r="A64" t="s">
        <v>108</v>
      </c>
      <c r="B64" s="1">
        <v>44930</v>
      </c>
      <c r="C64" s="1"/>
      <c r="E64" t="s">
        <v>42</v>
      </c>
      <c r="F64" t="s">
        <v>57</v>
      </c>
      <c r="G64" t="s">
        <v>32</v>
      </c>
      <c r="H64" t="s">
        <v>45</v>
      </c>
      <c r="I64" t="s">
        <v>33</v>
      </c>
      <c r="K64">
        <v>9</v>
      </c>
      <c r="M64">
        <v>6383</v>
      </c>
      <c r="N64" t="s">
        <v>21</v>
      </c>
    </row>
    <row r="65" spans="1:14" x14ac:dyDescent="0.3">
      <c r="A65" t="s">
        <v>109</v>
      </c>
      <c r="B65" s="1">
        <v>44983</v>
      </c>
      <c r="C65" s="1">
        <v>44985</v>
      </c>
      <c r="D65" t="s">
        <v>48</v>
      </c>
      <c r="E65" t="s">
        <v>42</v>
      </c>
      <c r="G65" t="s">
        <v>62</v>
      </c>
      <c r="H65" t="s">
        <v>45</v>
      </c>
      <c r="I65" t="s">
        <v>51</v>
      </c>
      <c r="J65">
        <v>18890</v>
      </c>
      <c r="K65">
        <v>4</v>
      </c>
      <c r="L65">
        <v>0.05</v>
      </c>
      <c r="N65" t="s">
        <v>21</v>
      </c>
    </row>
    <row r="66" spans="1:14" x14ac:dyDescent="0.3">
      <c r="A66" t="s">
        <v>110</v>
      </c>
      <c r="B66" s="1">
        <v>44961</v>
      </c>
      <c r="C66" s="1"/>
      <c r="D66" t="s">
        <v>30</v>
      </c>
      <c r="E66" t="s">
        <v>16</v>
      </c>
      <c r="F66" t="s">
        <v>17</v>
      </c>
      <c r="G66" t="s">
        <v>26</v>
      </c>
      <c r="H66" t="s">
        <v>27</v>
      </c>
      <c r="I66" t="s">
        <v>28</v>
      </c>
      <c r="J66">
        <v>-200</v>
      </c>
      <c r="K66">
        <v>2</v>
      </c>
      <c r="L66">
        <v>0</v>
      </c>
      <c r="N66" t="s">
        <v>43</v>
      </c>
    </row>
    <row r="67" spans="1:14" x14ac:dyDescent="0.3">
      <c r="A67" t="s">
        <v>111</v>
      </c>
      <c r="B67" s="1">
        <v>44972</v>
      </c>
      <c r="C67" s="1">
        <v>44977</v>
      </c>
      <c r="E67" t="s">
        <v>16</v>
      </c>
      <c r="F67" t="s">
        <v>36</v>
      </c>
      <c r="G67" t="s">
        <v>26</v>
      </c>
      <c r="H67" t="s">
        <v>19</v>
      </c>
      <c r="I67" t="s">
        <v>28</v>
      </c>
      <c r="K67">
        <v>10</v>
      </c>
      <c r="L67">
        <v>0.1</v>
      </c>
    </row>
    <row r="68" spans="1:14" x14ac:dyDescent="0.3">
      <c r="A68" t="s">
        <v>112</v>
      </c>
      <c r="B68" s="1">
        <v>44941</v>
      </c>
      <c r="C68" s="1">
        <v>44948</v>
      </c>
      <c r="D68" t="s">
        <v>50</v>
      </c>
      <c r="E68" t="s">
        <v>24</v>
      </c>
      <c r="F68" t="s">
        <v>36</v>
      </c>
      <c r="G68" t="s">
        <v>26</v>
      </c>
      <c r="H68" t="s">
        <v>19</v>
      </c>
      <c r="I68" t="s">
        <v>20</v>
      </c>
      <c r="J68">
        <v>-200</v>
      </c>
      <c r="K68">
        <v>7</v>
      </c>
      <c r="N68" t="s">
        <v>21</v>
      </c>
    </row>
    <row r="69" spans="1:14" x14ac:dyDescent="0.3">
      <c r="A69" t="s">
        <v>113</v>
      </c>
      <c r="B69" s="1">
        <v>44971</v>
      </c>
      <c r="C69" s="1"/>
      <c r="D69" t="s">
        <v>23</v>
      </c>
      <c r="E69" t="s">
        <v>42</v>
      </c>
      <c r="F69" t="s">
        <v>31</v>
      </c>
      <c r="H69" t="s">
        <v>45</v>
      </c>
      <c r="I69" t="s">
        <v>73</v>
      </c>
      <c r="J69">
        <v>-200</v>
      </c>
      <c r="K69">
        <v>5</v>
      </c>
      <c r="L69">
        <v>0.1</v>
      </c>
      <c r="N69" t="s">
        <v>37</v>
      </c>
    </row>
    <row r="70" spans="1:14" x14ac:dyDescent="0.3">
      <c r="A70" t="s">
        <v>114</v>
      </c>
      <c r="B70" s="1">
        <v>44975</v>
      </c>
      <c r="C70" s="1">
        <v>44977</v>
      </c>
      <c r="D70" t="s">
        <v>35</v>
      </c>
      <c r="E70" t="s">
        <v>16</v>
      </c>
      <c r="F70" t="s">
        <v>39</v>
      </c>
      <c r="G70" t="s">
        <v>18</v>
      </c>
      <c r="H70" t="s">
        <v>27</v>
      </c>
      <c r="I70" t="s">
        <v>51</v>
      </c>
      <c r="J70">
        <v>-200</v>
      </c>
      <c r="K70">
        <v>1</v>
      </c>
      <c r="L70">
        <v>0.05</v>
      </c>
      <c r="N70" t="s">
        <v>43</v>
      </c>
    </row>
    <row r="71" spans="1:14" x14ac:dyDescent="0.3">
      <c r="A71" t="s">
        <v>115</v>
      </c>
      <c r="B71" s="1">
        <v>44931</v>
      </c>
      <c r="C71" s="1">
        <v>44936</v>
      </c>
      <c r="D71" t="s">
        <v>54</v>
      </c>
      <c r="E71" t="s">
        <v>24</v>
      </c>
      <c r="F71" t="s">
        <v>31</v>
      </c>
      <c r="G71" t="s">
        <v>62</v>
      </c>
      <c r="H71" t="s">
        <v>19</v>
      </c>
      <c r="I71" t="s">
        <v>28</v>
      </c>
      <c r="J71">
        <v>16464</v>
      </c>
      <c r="K71">
        <v>3</v>
      </c>
      <c r="L71">
        <v>0.05</v>
      </c>
      <c r="N71" t="s">
        <v>21</v>
      </c>
    </row>
    <row r="72" spans="1:14" x14ac:dyDescent="0.3">
      <c r="A72" t="s">
        <v>116</v>
      </c>
      <c r="B72" s="1">
        <v>44951</v>
      </c>
      <c r="C72" s="1"/>
      <c r="D72" t="s">
        <v>54</v>
      </c>
      <c r="E72" t="s">
        <v>42</v>
      </c>
      <c r="F72" t="s">
        <v>25</v>
      </c>
      <c r="G72" t="s">
        <v>26</v>
      </c>
      <c r="H72" t="s">
        <v>27</v>
      </c>
      <c r="I72" t="s">
        <v>33</v>
      </c>
      <c r="J72">
        <v>11268</v>
      </c>
      <c r="K72">
        <v>10</v>
      </c>
      <c r="L72">
        <v>0.1</v>
      </c>
    </row>
    <row r="73" spans="1:14" x14ac:dyDescent="0.3">
      <c r="A73" t="s">
        <v>117</v>
      </c>
      <c r="B73" s="1">
        <v>44955</v>
      </c>
      <c r="C73" s="1">
        <v>44956</v>
      </c>
      <c r="D73" t="s">
        <v>48</v>
      </c>
      <c r="E73" t="s">
        <v>24</v>
      </c>
      <c r="F73" t="s">
        <v>31</v>
      </c>
      <c r="H73" t="s">
        <v>45</v>
      </c>
      <c r="I73" t="s">
        <v>28</v>
      </c>
      <c r="J73">
        <v>55497</v>
      </c>
      <c r="K73">
        <v>1</v>
      </c>
      <c r="N73" t="s">
        <v>43</v>
      </c>
    </row>
    <row r="74" spans="1:14" x14ac:dyDescent="0.3">
      <c r="A74" t="s">
        <v>118</v>
      </c>
      <c r="B74" s="1">
        <v>44953</v>
      </c>
      <c r="C74" s="1"/>
      <c r="D74" t="s">
        <v>50</v>
      </c>
      <c r="E74" t="s">
        <v>42</v>
      </c>
      <c r="F74" t="s">
        <v>36</v>
      </c>
      <c r="G74" t="s">
        <v>62</v>
      </c>
      <c r="H74" t="s">
        <v>27</v>
      </c>
      <c r="I74" t="s">
        <v>51</v>
      </c>
      <c r="J74">
        <v>-200</v>
      </c>
      <c r="K74">
        <v>6</v>
      </c>
      <c r="N74" t="s">
        <v>21</v>
      </c>
    </row>
    <row r="75" spans="1:14" x14ac:dyDescent="0.3">
      <c r="A75" t="s">
        <v>119</v>
      </c>
      <c r="B75" s="1">
        <v>44935</v>
      </c>
      <c r="C75" s="1">
        <v>44938</v>
      </c>
      <c r="D75" t="s">
        <v>35</v>
      </c>
      <c r="E75" t="s">
        <v>42</v>
      </c>
      <c r="F75" t="s">
        <v>25</v>
      </c>
      <c r="G75" t="s">
        <v>62</v>
      </c>
      <c r="H75" t="s">
        <v>45</v>
      </c>
      <c r="I75" t="s">
        <v>33</v>
      </c>
      <c r="J75">
        <v>-200</v>
      </c>
      <c r="K75">
        <v>3</v>
      </c>
    </row>
    <row r="76" spans="1:14" x14ac:dyDescent="0.3">
      <c r="A76" t="s">
        <v>120</v>
      </c>
      <c r="B76" s="1">
        <v>44986</v>
      </c>
      <c r="C76" s="1">
        <v>44991</v>
      </c>
      <c r="D76" t="s">
        <v>35</v>
      </c>
      <c r="E76" t="s">
        <v>42</v>
      </c>
      <c r="F76" t="s">
        <v>25</v>
      </c>
      <c r="G76" t="s">
        <v>32</v>
      </c>
      <c r="H76" t="s">
        <v>27</v>
      </c>
      <c r="I76" t="s">
        <v>51</v>
      </c>
      <c r="K76">
        <v>8</v>
      </c>
      <c r="L76">
        <v>0</v>
      </c>
      <c r="M76">
        <v>5908</v>
      </c>
    </row>
    <row r="77" spans="1:14" x14ac:dyDescent="0.3">
      <c r="A77" t="s">
        <v>121</v>
      </c>
      <c r="B77" s="1">
        <v>44928</v>
      </c>
      <c r="C77" s="1">
        <v>44929</v>
      </c>
      <c r="E77" t="s">
        <v>16</v>
      </c>
      <c r="G77" t="s">
        <v>62</v>
      </c>
      <c r="H77" t="s">
        <v>45</v>
      </c>
      <c r="I77" t="s">
        <v>28</v>
      </c>
      <c r="K77">
        <v>9</v>
      </c>
      <c r="M77">
        <v>3822</v>
      </c>
      <c r="N77" t="s">
        <v>37</v>
      </c>
    </row>
    <row r="78" spans="1:14" x14ac:dyDescent="0.3">
      <c r="A78" t="s">
        <v>122</v>
      </c>
      <c r="B78" s="1">
        <v>44977</v>
      </c>
      <c r="C78" s="1">
        <v>44982</v>
      </c>
      <c r="E78" t="s">
        <v>24</v>
      </c>
      <c r="F78" t="s">
        <v>39</v>
      </c>
      <c r="G78" t="s">
        <v>26</v>
      </c>
      <c r="H78" t="s">
        <v>45</v>
      </c>
      <c r="I78" t="s">
        <v>73</v>
      </c>
      <c r="K78">
        <v>2</v>
      </c>
      <c r="L78">
        <v>0.1</v>
      </c>
      <c r="N78" t="s">
        <v>37</v>
      </c>
    </row>
    <row r="79" spans="1:14" x14ac:dyDescent="0.3">
      <c r="A79" t="s">
        <v>123</v>
      </c>
      <c r="B79" s="1">
        <v>44967</v>
      </c>
      <c r="C79" s="1">
        <v>44972</v>
      </c>
      <c r="D79" t="s">
        <v>23</v>
      </c>
      <c r="E79" t="s">
        <v>16</v>
      </c>
      <c r="F79" t="s">
        <v>31</v>
      </c>
      <c r="G79" t="s">
        <v>18</v>
      </c>
      <c r="H79" t="s">
        <v>19</v>
      </c>
      <c r="I79" t="s">
        <v>40</v>
      </c>
      <c r="J79">
        <v>-200</v>
      </c>
      <c r="K79">
        <v>3</v>
      </c>
      <c r="L79">
        <v>0</v>
      </c>
      <c r="M79">
        <v>2006</v>
      </c>
    </row>
    <row r="80" spans="1:14" x14ac:dyDescent="0.3">
      <c r="A80" t="s">
        <v>124</v>
      </c>
      <c r="B80" s="1">
        <v>44941</v>
      </c>
      <c r="C80" s="1"/>
      <c r="D80" t="s">
        <v>15</v>
      </c>
      <c r="E80" t="s">
        <v>16</v>
      </c>
      <c r="F80" t="s">
        <v>17</v>
      </c>
      <c r="H80" t="s">
        <v>45</v>
      </c>
      <c r="I80" t="s">
        <v>40</v>
      </c>
      <c r="J80">
        <v>-200</v>
      </c>
      <c r="K80">
        <v>4</v>
      </c>
      <c r="L80">
        <v>0.05</v>
      </c>
      <c r="M80">
        <v>7739</v>
      </c>
      <c r="N80" t="s">
        <v>37</v>
      </c>
    </row>
    <row r="81" spans="1:14" x14ac:dyDescent="0.3">
      <c r="A81" t="s">
        <v>125</v>
      </c>
      <c r="B81" s="1">
        <v>44956</v>
      </c>
      <c r="C81" s="1">
        <v>44957</v>
      </c>
      <c r="D81" t="s">
        <v>54</v>
      </c>
      <c r="E81" t="s">
        <v>24</v>
      </c>
      <c r="F81" t="s">
        <v>17</v>
      </c>
      <c r="G81" t="s">
        <v>18</v>
      </c>
      <c r="H81" t="s">
        <v>19</v>
      </c>
      <c r="I81" t="s">
        <v>51</v>
      </c>
      <c r="J81">
        <v>-200</v>
      </c>
      <c r="K81">
        <v>7</v>
      </c>
      <c r="L81">
        <v>0.1</v>
      </c>
      <c r="M81">
        <v>298</v>
      </c>
    </row>
    <row r="82" spans="1:14" x14ac:dyDescent="0.3">
      <c r="A82" t="s">
        <v>126</v>
      </c>
      <c r="B82" s="1">
        <v>44949</v>
      </c>
      <c r="C82" s="1">
        <v>44952</v>
      </c>
      <c r="D82" t="s">
        <v>48</v>
      </c>
      <c r="E82" t="s">
        <v>16</v>
      </c>
      <c r="F82" t="s">
        <v>39</v>
      </c>
      <c r="G82" t="s">
        <v>62</v>
      </c>
      <c r="H82" t="s">
        <v>27</v>
      </c>
      <c r="I82" t="s">
        <v>20</v>
      </c>
      <c r="K82">
        <v>6</v>
      </c>
      <c r="L82">
        <v>0.05</v>
      </c>
      <c r="M82">
        <v>5530</v>
      </c>
      <c r="N82" t="s">
        <v>43</v>
      </c>
    </row>
    <row r="83" spans="1:14" x14ac:dyDescent="0.3">
      <c r="A83" t="s">
        <v>127</v>
      </c>
      <c r="B83" s="1">
        <v>44928</v>
      </c>
      <c r="C83" s="1">
        <v>44932</v>
      </c>
      <c r="D83" t="s">
        <v>35</v>
      </c>
      <c r="E83" t="s">
        <v>24</v>
      </c>
      <c r="G83" t="s">
        <v>62</v>
      </c>
      <c r="H83" t="s">
        <v>45</v>
      </c>
      <c r="I83" t="s">
        <v>20</v>
      </c>
      <c r="J83">
        <v>23611</v>
      </c>
      <c r="K83">
        <v>10</v>
      </c>
      <c r="L83">
        <v>0.2</v>
      </c>
      <c r="M83">
        <v>3798</v>
      </c>
    </row>
    <row r="84" spans="1:14" x14ac:dyDescent="0.3">
      <c r="A84" t="s">
        <v>128</v>
      </c>
      <c r="B84" s="1">
        <v>44964</v>
      </c>
      <c r="C84" s="1">
        <v>44970</v>
      </c>
      <c r="D84" t="s">
        <v>23</v>
      </c>
      <c r="E84" t="s">
        <v>24</v>
      </c>
      <c r="F84" t="s">
        <v>36</v>
      </c>
      <c r="G84" t="s">
        <v>32</v>
      </c>
      <c r="H84" t="s">
        <v>27</v>
      </c>
      <c r="I84" t="s">
        <v>51</v>
      </c>
      <c r="J84">
        <v>-200</v>
      </c>
      <c r="K84">
        <v>4</v>
      </c>
      <c r="L84">
        <v>0</v>
      </c>
      <c r="M84">
        <v>-2824</v>
      </c>
    </row>
    <row r="85" spans="1:14" x14ac:dyDescent="0.3">
      <c r="A85" t="s">
        <v>129</v>
      </c>
      <c r="B85" s="1">
        <v>44985</v>
      </c>
      <c r="C85" s="1">
        <v>44989</v>
      </c>
      <c r="D85" t="s">
        <v>23</v>
      </c>
      <c r="E85" t="s">
        <v>16</v>
      </c>
      <c r="F85" t="s">
        <v>39</v>
      </c>
      <c r="G85" t="s">
        <v>62</v>
      </c>
      <c r="H85" t="s">
        <v>27</v>
      </c>
      <c r="I85" t="s">
        <v>51</v>
      </c>
      <c r="J85">
        <v>-200</v>
      </c>
      <c r="K85">
        <v>5</v>
      </c>
      <c r="L85">
        <v>0.1</v>
      </c>
      <c r="M85">
        <v>7928</v>
      </c>
      <c r="N85" t="s">
        <v>37</v>
      </c>
    </row>
    <row r="86" spans="1:14" x14ac:dyDescent="0.3">
      <c r="A86" t="s">
        <v>130</v>
      </c>
      <c r="B86" s="1">
        <v>44967</v>
      </c>
      <c r="C86" s="1"/>
      <c r="D86" t="s">
        <v>30</v>
      </c>
      <c r="E86" t="s">
        <v>16</v>
      </c>
      <c r="F86" t="s">
        <v>31</v>
      </c>
      <c r="G86" t="s">
        <v>26</v>
      </c>
      <c r="H86" t="s">
        <v>19</v>
      </c>
      <c r="I86" t="s">
        <v>73</v>
      </c>
      <c r="K86">
        <v>9</v>
      </c>
      <c r="L86">
        <v>0.05</v>
      </c>
      <c r="M86">
        <v>4186</v>
      </c>
      <c r="N86" t="s">
        <v>21</v>
      </c>
    </row>
    <row r="87" spans="1:14" x14ac:dyDescent="0.3">
      <c r="A87" t="s">
        <v>131</v>
      </c>
      <c r="B87" s="1">
        <v>44944</v>
      </c>
      <c r="C87" s="1">
        <v>44950</v>
      </c>
      <c r="D87" t="s">
        <v>30</v>
      </c>
      <c r="E87" t="s">
        <v>16</v>
      </c>
      <c r="F87" t="s">
        <v>39</v>
      </c>
      <c r="G87" t="s">
        <v>18</v>
      </c>
      <c r="H87" t="s">
        <v>27</v>
      </c>
      <c r="I87" t="s">
        <v>33</v>
      </c>
      <c r="K87">
        <v>7</v>
      </c>
      <c r="N87" t="s">
        <v>37</v>
      </c>
    </row>
    <row r="88" spans="1:14" x14ac:dyDescent="0.3">
      <c r="A88" t="s">
        <v>132</v>
      </c>
      <c r="B88" s="1">
        <v>44983</v>
      </c>
      <c r="C88" s="1"/>
      <c r="D88" t="s">
        <v>23</v>
      </c>
      <c r="E88" t="s">
        <v>42</v>
      </c>
      <c r="F88" t="s">
        <v>31</v>
      </c>
      <c r="G88" t="s">
        <v>26</v>
      </c>
      <c r="H88" t="s">
        <v>19</v>
      </c>
      <c r="I88" t="s">
        <v>33</v>
      </c>
      <c r="J88">
        <v>-200</v>
      </c>
      <c r="K88">
        <v>10</v>
      </c>
      <c r="N88" t="s">
        <v>43</v>
      </c>
    </row>
    <row r="89" spans="1:14" x14ac:dyDescent="0.3">
      <c r="A89" t="s">
        <v>133</v>
      </c>
      <c r="B89" s="1">
        <v>44949</v>
      </c>
      <c r="C89" s="1">
        <v>44956</v>
      </c>
      <c r="E89" t="s">
        <v>42</v>
      </c>
      <c r="G89" t="s">
        <v>18</v>
      </c>
      <c r="H89" t="s">
        <v>27</v>
      </c>
      <c r="I89" t="s">
        <v>20</v>
      </c>
      <c r="K89">
        <v>6</v>
      </c>
      <c r="L89">
        <v>0.05</v>
      </c>
      <c r="N89" t="s">
        <v>21</v>
      </c>
    </row>
    <row r="90" spans="1:14" x14ac:dyDescent="0.3">
      <c r="A90" t="s">
        <v>134</v>
      </c>
      <c r="B90" s="1">
        <v>44937</v>
      </c>
      <c r="C90" s="1">
        <v>44940</v>
      </c>
      <c r="D90" t="s">
        <v>54</v>
      </c>
      <c r="E90" t="s">
        <v>16</v>
      </c>
      <c r="F90" t="s">
        <v>17</v>
      </c>
      <c r="G90" t="s">
        <v>32</v>
      </c>
      <c r="H90" t="s">
        <v>45</v>
      </c>
      <c r="I90" t="s">
        <v>20</v>
      </c>
      <c r="J90">
        <v>-200</v>
      </c>
      <c r="K90">
        <v>7</v>
      </c>
      <c r="L90">
        <v>0.05</v>
      </c>
      <c r="M90">
        <v>-2451</v>
      </c>
      <c r="N90" t="s">
        <v>37</v>
      </c>
    </row>
    <row r="91" spans="1:14" x14ac:dyDescent="0.3">
      <c r="A91" t="s">
        <v>135</v>
      </c>
      <c r="B91" s="1">
        <v>44943</v>
      </c>
      <c r="C91" s="1"/>
      <c r="D91" t="s">
        <v>48</v>
      </c>
      <c r="E91" t="s">
        <v>16</v>
      </c>
      <c r="G91" t="s">
        <v>18</v>
      </c>
      <c r="H91" t="s">
        <v>45</v>
      </c>
      <c r="I91" t="s">
        <v>28</v>
      </c>
      <c r="K91">
        <v>4</v>
      </c>
      <c r="M91">
        <v>-1242</v>
      </c>
      <c r="N91" t="s">
        <v>37</v>
      </c>
    </row>
    <row r="92" spans="1:14" x14ac:dyDescent="0.3">
      <c r="A92" t="s">
        <v>136</v>
      </c>
      <c r="B92" s="1">
        <v>44973</v>
      </c>
      <c r="C92" s="1">
        <v>44975</v>
      </c>
      <c r="D92" t="s">
        <v>23</v>
      </c>
      <c r="E92" t="s">
        <v>42</v>
      </c>
      <c r="F92" t="s">
        <v>39</v>
      </c>
      <c r="G92" t="s">
        <v>18</v>
      </c>
      <c r="H92" t="s">
        <v>19</v>
      </c>
      <c r="I92" t="s">
        <v>51</v>
      </c>
      <c r="K92">
        <v>9</v>
      </c>
      <c r="L92">
        <v>0.05</v>
      </c>
      <c r="M92">
        <v>1722</v>
      </c>
      <c r="N92" t="s">
        <v>21</v>
      </c>
    </row>
    <row r="93" spans="1:14" x14ac:dyDescent="0.3">
      <c r="A93" t="s">
        <v>137</v>
      </c>
      <c r="B93" s="1">
        <v>44969</v>
      </c>
      <c r="C93" s="1">
        <v>44974</v>
      </c>
      <c r="D93" t="s">
        <v>48</v>
      </c>
      <c r="E93" t="s">
        <v>42</v>
      </c>
      <c r="G93" t="s">
        <v>62</v>
      </c>
      <c r="H93" t="s">
        <v>27</v>
      </c>
      <c r="I93" t="s">
        <v>40</v>
      </c>
      <c r="J93">
        <v>17776</v>
      </c>
      <c r="K93">
        <v>9</v>
      </c>
      <c r="L93">
        <v>0</v>
      </c>
      <c r="N93" t="s">
        <v>43</v>
      </c>
    </row>
    <row r="94" spans="1:14" x14ac:dyDescent="0.3">
      <c r="A94" t="s">
        <v>138</v>
      </c>
      <c r="B94" s="1">
        <v>44960</v>
      </c>
      <c r="C94" s="1">
        <v>44964</v>
      </c>
      <c r="D94" t="s">
        <v>30</v>
      </c>
      <c r="E94" t="s">
        <v>42</v>
      </c>
      <c r="F94" t="s">
        <v>17</v>
      </c>
      <c r="G94" t="s">
        <v>62</v>
      </c>
      <c r="H94" t="s">
        <v>27</v>
      </c>
      <c r="I94" t="s">
        <v>28</v>
      </c>
      <c r="J94">
        <v>10619</v>
      </c>
      <c r="K94">
        <v>4</v>
      </c>
      <c r="M94">
        <v>5528</v>
      </c>
      <c r="N94" t="s">
        <v>43</v>
      </c>
    </row>
    <row r="95" spans="1:14" x14ac:dyDescent="0.3">
      <c r="A95" t="s">
        <v>139</v>
      </c>
      <c r="B95" s="1">
        <v>44985</v>
      </c>
      <c r="C95" s="1">
        <v>44990</v>
      </c>
      <c r="D95" t="s">
        <v>35</v>
      </c>
      <c r="E95" t="s">
        <v>42</v>
      </c>
      <c r="F95" t="s">
        <v>25</v>
      </c>
      <c r="G95" t="s">
        <v>62</v>
      </c>
      <c r="H95" t="s">
        <v>45</v>
      </c>
      <c r="I95" t="s">
        <v>33</v>
      </c>
      <c r="J95">
        <v>53775</v>
      </c>
      <c r="K95">
        <v>9</v>
      </c>
      <c r="L95">
        <v>0.1</v>
      </c>
      <c r="M95">
        <v>-1173</v>
      </c>
      <c r="N95" t="s">
        <v>21</v>
      </c>
    </row>
    <row r="96" spans="1:14" x14ac:dyDescent="0.3">
      <c r="A96" t="s">
        <v>140</v>
      </c>
      <c r="B96" s="1">
        <v>44984</v>
      </c>
      <c r="C96" s="1"/>
      <c r="D96" t="s">
        <v>48</v>
      </c>
      <c r="E96" t="s">
        <v>16</v>
      </c>
      <c r="G96" t="s">
        <v>62</v>
      </c>
      <c r="H96" t="s">
        <v>45</v>
      </c>
      <c r="I96" t="s">
        <v>73</v>
      </c>
      <c r="J96">
        <v>-200</v>
      </c>
      <c r="K96">
        <v>9</v>
      </c>
      <c r="M96">
        <v>904</v>
      </c>
      <c r="N96" t="s">
        <v>43</v>
      </c>
    </row>
    <row r="97" spans="1:14" x14ac:dyDescent="0.3">
      <c r="A97" t="s">
        <v>141</v>
      </c>
      <c r="B97" s="1">
        <v>44944</v>
      </c>
      <c r="C97" s="1">
        <v>44948</v>
      </c>
      <c r="D97" t="s">
        <v>23</v>
      </c>
      <c r="E97" t="s">
        <v>16</v>
      </c>
      <c r="F97" t="s">
        <v>31</v>
      </c>
      <c r="G97" t="s">
        <v>26</v>
      </c>
      <c r="H97" t="s">
        <v>27</v>
      </c>
      <c r="I97" t="s">
        <v>33</v>
      </c>
      <c r="J97">
        <v>14971</v>
      </c>
      <c r="K97">
        <v>7</v>
      </c>
      <c r="L97">
        <v>0.2</v>
      </c>
      <c r="M97">
        <v>7830</v>
      </c>
      <c r="N97" t="s">
        <v>37</v>
      </c>
    </row>
    <row r="98" spans="1:14" x14ac:dyDescent="0.3">
      <c r="A98" t="s">
        <v>142</v>
      </c>
      <c r="B98" s="1">
        <v>44931</v>
      </c>
      <c r="C98" s="1">
        <v>44933</v>
      </c>
      <c r="D98" t="s">
        <v>15</v>
      </c>
      <c r="E98" t="s">
        <v>42</v>
      </c>
      <c r="F98" t="s">
        <v>39</v>
      </c>
      <c r="G98" t="s">
        <v>62</v>
      </c>
      <c r="H98" t="s">
        <v>27</v>
      </c>
      <c r="I98" t="s">
        <v>51</v>
      </c>
      <c r="K98">
        <v>5</v>
      </c>
      <c r="L98">
        <v>0</v>
      </c>
      <c r="M98">
        <v>7381</v>
      </c>
      <c r="N98" t="s">
        <v>43</v>
      </c>
    </row>
    <row r="99" spans="1:14" x14ac:dyDescent="0.3">
      <c r="A99" t="s">
        <v>143</v>
      </c>
      <c r="B99" s="1">
        <v>44983</v>
      </c>
      <c r="C99" s="1">
        <v>44987</v>
      </c>
      <c r="D99" t="s">
        <v>23</v>
      </c>
      <c r="E99" t="s">
        <v>42</v>
      </c>
      <c r="F99" t="s">
        <v>39</v>
      </c>
      <c r="H99" t="s">
        <v>19</v>
      </c>
      <c r="I99" t="s">
        <v>73</v>
      </c>
      <c r="J99">
        <v>34210</v>
      </c>
      <c r="K99">
        <v>5</v>
      </c>
      <c r="L99">
        <v>0.1</v>
      </c>
      <c r="M99">
        <v>-717</v>
      </c>
      <c r="N99" t="s">
        <v>21</v>
      </c>
    </row>
    <row r="100" spans="1:14" x14ac:dyDescent="0.3">
      <c r="A100" t="s">
        <v>144</v>
      </c>
      <c r="B100" s="1">
        <v>44964</v>
      </c>
      <c r="C100" s="1">
        <v>44965</v>
      </c>
      <c r="E100" t="s">
        <v>16</v>
      </c>
      <c r="F100" t="s">
        <v>25</v>
      </c>
      <c r="H100" t="s">
        <v>19</v>
      </c>
      <c r="I100" t="s">
        <v>51</v>
      </c>
      <c r="K100">
        <v>7</v>
      </c>
      <c r="L100">
        <v>0</v>
      </c>
      <c r="M100">
        <v>-3476</v>
      </c>
      <c r="N100" t="s">
        <v>21</v>
      </c>
    </row>
    <row r="101" spans="1:14" x14ac:dyDescent="0.3">
      <c r="A101" t="s">
        <v>145</v>
      </c>
      <c r="B101" s="1">
        <v>44978</v>
      </c>
      <c r="C101" s="1">
        <v>44984</v>
      </c>
      <c r="D101" t="s">
        <v>23</v>
      </c>
      <c r="E101" t="s">
        <v>16</v>
      </c>
      <c r="F101" t="s">
        <v>36</v>
      </c>
      <c r="H101" t="s">
        <v>45</v>
      </c>
      <c r="I101" t="s">
        <v>40</v>
      </c>
      <c r="J101">
        <v>-200</v>
      </c>
      <c r="K101">
        <v>1</v>
      </c>
      <c r="L101">
        <v>0.2</v>
      </c>
      <c r="M101">
        <v>3328</v>
      </c>
      <c r="N10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6F5E-5694-40D8-B1A8-60FC65AB37CE}">
  <dimension ref="A1:O81"/>
  <sheetViews>
    <sheetView workbookViewId="0">
      <selection activeCell="E13" sqref="E1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21875" bestFit="1" customWidth="1"/>
    <col min="4" max="4" width="16.21875" bestFit="1" customWidth="1"/>
    <col min="5" max="5" width="11.33203125" bestFit="1" customWidth="1"/>
    <col min="6" max="6" width="10.6640625" bestFit="1" customWidth="1"/>
    <col min="7" max="7" width="7.5546875" bestFit="1" customWidth="1"/>
    <col min="8" max="8" width="13.109375" bestFit="1" customWidth="1"/>
    <col min="9" max="9" width="14.6640625" bestFit="1" customWidth="1"/>
    <col min="10" max="10" width="7.44140625" bestFit="1" customWidth="1"/>
    <col min="11" max="11" width="10.5546875" bestFit="1" customWidth="1"/>
    <col min="12" max="12" width="15.88671875" bestFit="1" customWidth="1"/>
    <col min="13" max="13" width="10.5546875" bestFit="1" customWidth="1"/>
    <col min="14" max="14" width="10" bestFit="1" customWidth="1"/>
    <col min="15" max="15" width="20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146</v>
      </c>
      <c r="M1" t="s">
        <v>11</v>
      </c>
      <c r="N1" t="s">
        <v>12</v>
      </c>
      <c r="O1" t="s">
        <v>182</v>
      </c>
    </row>
    <row r="2" spans="1:15" x14ac:dyDescent="0.3">
      <c r="A2" s="2" t="s">
        <v>14</v>
      </c>
      <c r="B2" s="3">
        <v>44951</v>
      </c>
      <c r="C2" s="3">
        <v>44953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200</v>
      </c>
      <c r="K2" s="2">
        <v>5</v>
      </c>
      <c r="L2" s="2">
        <v>1000</v>
      </c>
      <c r="M2" s="2">
        <v>0</v>
      </c>
      <c r="N2" s="2">
        <v>1000</v>
      </c>
      <c r="O2" s="2">
        <f t="shared" ref="O2:O33" si="0">C2-B2</f>
        <v>2</v>
      </c>
    </row>
    <row r="3" spans="1:15" x14ac:dyDescent="0.3">
      <c r="A3" s="2" t="s">
        <v>22</v>
      </c>
      <c r="B3" s="3">
        <v>44935</v>
      </c>
      <c r="C3" s="3">
        <v>44941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20808</v>
      </c>
      <c r="K3" s="2">
        <v>2</v>
      </c>
      <c r="L3" s="2">
        <v>41616</v>
      </c>
      <c r="M3" s="2">
        <v>0.1</v>
      </c>
      <c r="N3" s="2">
        <v>41615.9</v>
      </c>
      <c r="O3" s="2">
        <f t="shared" si="0"/>
        <v>6</v>
      </c>
    </row>
    <row r="4" spans="1:15" x14ac:dyDescent="0.3">
      <c r="A4" s="2" t="s">
        <v>29</v>
      </c>
      <c r="B4" s="3">
        <v>44928</v>
      </c>
      <c r="C4" s="3">
        <v>44933</v>
      </c>
      <c r="D4" s="2" t="s">
        <v>30</v>
      </c>
      <c r="E4" s="2" t="s">
        <v>24</v>
      </c>
      <c r="F4" s="2" t="s">
        <v>31</v>
      </c>
      <c r="G4" s="2" t="s">
        <v>32</v>
      </c>
      <c r="H4" s="2" t="s">
        <v>19</v>
      </c>
      <c r="I4" s="2" t="s">
        <v>33</v>
      </c>
      <c r="J4" s="2">
        <v>200</v>
      </c>
      <c r="K4" s="2">
        <v>3</v>
      </c>
      <c r="L4" s="2">
        <v>600</v>
      </c>
      <c r="M4" s="2">
        <v>0</v>
      </c>
      <c r="N4" s="2">
        <v>600</v>
      </c>
      <c r="O4" s="2">
        <f t="shared" si="0"/>
        <v>5</v>
      </c>
    </row>
    <row r="5" spans="1:15" x14ac:dyDescent="0.3">
      <c r="A5" s="2" t="s">
        <v>34</v>
      </c>
      <c r="B5" s="3">
        <v>44959</v>
      </c>
      <c r="C5" s="3">
        <v>44964</v>
      </c>
      <c r="D5" s="2" t="s">
        <v>35</v>
      </c>
      <c r="E5" s="2" t="s">
        <v>16</v>
      </c>
      <c r="F5" s="2" t="s">
        <v>36</v>
      </c>
      <c r="G5" s="2" t="s">
        <v>32</v>
      </c>
      <c r="H5" s="2" t="s">
        <v>27</v>
      </c>
      <c r="I5" s="2" t="s">
        <v>20</v>
      </c>
      <c r="J5" s="2">
        <v>44368</v>
      </c>
      <c r="K5" s="2">
        <v>5</v>
      </c>
      <c r="L5" s="2">
        <v>221840</v>
      </c>
      <c r="M5" s="2">
        <v>0</v>
      </c>
      <c r="N5" s="2">
        <v>221840</v>
      </c>
      <c r="O5" s="2">
        <f t="shared" si="0"/>
        <v>5</v>
      </c>
    </row>
    <row r="6" spans="1:15" x14ac:dyDescent="0.3">
      <c r="A6" s="2" t="s">
        <v>38</v>
      </c>
      <c r="B6" s="3">
        <v>44943</v>
      </c>
      <c r="C6" s="3">
        <v>44946</v>
      </c>
      <c r="D6" s="2" t="s">
        <v>147</v>
      </c>
      <c r="E6" s="2" t="s">
        <v>24</v>
      </c>
      <c r="F6" s="2" t="s">
        <v>39</v>
      </c>
      <c r="G6" s="2" t="s">
        <v>18</v>
      </c>
      <c r="H6" s="2" t="s">
        <v>27</v>
      </c>
      <c r="I6" s="2" t="s">
        <v>40</v>
      </c>
      <c r="J6" s="2">
        <v>30679</v>
      </c>
      <c r="K6" s="2">
        <v>10</v>
      </c>
      <c r="L6" s="2">
        <v>306790</v>
      </c>
      <c r="M6" s="2">
        <v>0.2</v>
      </c>
      <c r="N6" s="2">
        <v>306789.8</v>
      </c>
      <c r="O6" s="2">
        <f t="shared" si="0"/>
        <v>3</v>
      </c>
    </row>
    <row r="7" spans="1:15" x14ac:dyDescent="0.3">
      <c r="A7" s="2" t="s">
        <v>41</v>
      </c>
      <c r="B7" s="3">
        <v>44943</v>
      </c>
      <c r="C7" s="3">
        <v>44944</v>
      </c>
      <c r="D7" s="2" t="s">
        <v>15</v>
      </c>
      <c r="E7" s="2" t="s">
        <v>42</v>
      </c>
      <c r="F7" s="2" t="s">
        <v>39</v>
      </c>
      <c r="G7" s="2" t="s">
        <v>148</v>
      </c>
      <c r="H7" s="2" t="s">
        <v>27</v>
      </c>
      <c r="I7" s="2" t="s">
        <v>40</v>
      </c>
      <c r="J7" s="2">
        <v>0</v>
      </c>
      <c r="K7" s="2">
        <v>9</v>
      </c>
      <c r="L7" s="2">
        <v>0</v>
      </c>
      <c r="M7" s="2">
        <v>0</v>
      </c>
      <c r="N7" s="2">
        <v>0</v>
      </c>
      <c r="O7" s="2">
        <f t="shared" si="0"/>
        <v>1</v>
      </c>
    </row>
    <row r="8" spans="1:15" x14ac:dyDescent="0.3">
      <c r="A8" s="2" t="s">
        <v>44</v>
      </c>
      <c r="B8" s="3">
        <v>44941</v>
      </c>
      <c r="C8" s="3">
        <v>44945</v>
      </c>
      <c r="D8" s="2" t="s">
        <v>147</v>
      </c>
      <c r="E8" s="2" t="s">
        <v>16</v>
      </c>
      <c r="F8" s="2" t="s">
        <v>39</v>
      </c>
      <c r="G8" s="2" t="s">
        <v>26</v>
      </c>
      <c r="H8" s="2" t="s">
        <v>45</v>
      </c>
      <c r="I8" s="2" t="s">
        <v>20</v>
      </c>
      <c r="J8" s="2">
        <v>3761</v>
      </c>
      <c r="K8" s="2">
        <v>5</v>
      </c>
      <c r="L8" s="2">
        <v>18805</v>
      </c>
      <c r="M8" s="2">
        <v>0.2</v>
      </c>
      <c r="N8" s="2">
        <v>18804.8</v>
      </c>
      <c r="O8" s="2">
        <f t="shared" si="0"/>
        <v>4</v>
      </c>
    </row>
    <row r="9" spans="1:15" x14ac:dyDescent="0.3">
      <c r="A9" s="2" t="s">
        <v>46</v>
      </c>
      <c r="B9" s="3">
        <v>44948</v>
      </c>
      <c r="C9" s="3">
        <v>44954</v>
      </c>
      <c r="D9" s="2" t="s">
        <v>35</v>
      </c>
      <c r="E9" s="2" t="s">
        <v>24</v>
      </c>
      <c r="F9" s="2" t="s">
        <v>149</v>
      </c>
      <c r="G9" s="2" t="s">
        <v>26</v>
      </c>
      <c r="H9" s="2" t="s">
        <v>19</v>
      </c>
      <c r="I9" s="2" t="s">
        <v>33</v>
      </c>
      <c r="J9" s="2">
        <v>20756</v>
      </c>
      <c r="K9" s="2">
        <v>5</v>
      </c>
      <c r="L9" s="2">
        <v>103780</v>
      </c>
      <c r="M9" s="2">
        <v>0.05</v>
      </c>
      <c r="N9" s="2">
        <v>103779.95</v>
      </c>
      <c r="O9" s="2">
        <f t="shared" si="0"/>
        <v>6</v>
      </c>
    </row>
    <row r="10" spans="1:15" x14ac:dyDescent="0.3">
      <c r="A10" s="2" t="s">
        <v>47</v>
      </c>
      <c r="B10" s="3">
        <v>44982</v>
      </c>
      <c r="C10" s="3">
        <v>44989</v>
      </c>
      <c r="D10" s="2" t="s">
        <v>48</v>
      </c>
      <c r="E10" s="2" t="s">
        <v>42</v>
      </c>
      <c r="F10" s="2" t="s">
        <v>39</v>
      </c>
      <c r="G10" s="2" t="s">
        <v>148</v>
      </c>
      <c r="H10" s="2" t="s">
        <v>19</v>
      </c>
      <c r="I10" s="2" t="s">
        <v>28</v>
      </c>
      <c r="J10" s="2">
        <v>41630</v>
      </c>
      <c r="K10" s="2">
        <v>7</v>
      </c>
      <c r="L10" s="2">
        <v>291410</v>
      </c>
      <c r="M10" s="2">
        <v>0.05</v>
      </c>
      <c r="N10" s="2">
        <v>291409.95</v>
      </c>
      <c r="O10" s="2">
        <f t="shared" si="0"/>
        <v>7</v>
      </c>
    </row>
    <row r="11" spans="1:15" x14ac:dyDescent="0.3">
      <c r="A11" s="2" t="s">
        <v>49</v>
      </c>
      <c r="B11" s="3">
        <v>44947</v>
      </c>
      <c r="C11" s="3">
        <v>44951</v>
      </c>
      <c r="D11" s="2" t="s">
        <v>50</v>
      </c>
      <c r="E11" s="2" t="s">
        <v>24</v>
      </c>
      <c r="F11" s="2" t="s">
        <v>39</v>
      </c>
      <c r="G11" s="2" t="s">
        <v>148</v>
      </c>
      <c r="H11" s="2" t="s">
        <v>45</v>
      </c>
      <c r="I11" s="2" t="s">
        <v>51</v>
      </c>
      <c r="J11" s="2">
        <v>10029</v>
      </c>
      <c r="K11" s="2">
        <v>9</v>
      </c>
      <c r="L11" s="2">
        <v>90261</v>
      </c>
      <c r="M11" s="2">
        <v>0</v>
      </c>
      <c r="N11" s="2">
        <v>90261</v>
      </c>
      <c r="O11" s="2">
        <f t="shared" si="0"/>
        <v>4</v>
      </c>
    </row>
    <row r="12" spans="1:15" x14ac:dyDescent="0.3">
      <c r="A12" s="2" t="s">
        <v>52</v>
      </c>
      <c r="B12" s="3">
        <v>44953</v>
      </c>
      <c r="C12" s="3">
        <v>44960</v>
      </c>
      <c r="D12" s="2" t="s">
        <v>15</v>
      </c>
      <c r="E12" s="2" t="s">
        <v>42</v>
      </c>
      <c r="F12" s="2" t="s">
        <v>149</v>
      </c>
      <c r="G12" s="2" t="s">
        <v>26</v>
      </c>
      <c r="H12" s="2" t="s">
        <v>27</v>
      </c>
      <c r="I12" s="2" t="s">
        <v>20</v>
      </c>
      <c r="J12" s="2">
        <v>200</v>
      </c>
      <c r="K12" s="2">
        <v>5</v>
      </c>
      <c r="L12" s="2">
        <v>1000</v>
      </c>
      <c r="M12" s="2">
        <v>0.2</v>
      </c>
      <c r="N12" s="2">
        <v>999.8</v>
      </c>
      <c r="O12" s="2">
        <f t="shared" si="0"/>
        <v>7</v>
      </c>
    </row>
    <row r="13" spans="1:15" x14ac:dyDescent="0.3">
      <c r="A13" s="2" t="s">
        <v>53</v>
      </c>
      <c r="B13" s="3">
        <v>44946</v>
      </c>
      <c r="C13" s="3">
        <v>44948</v>
      </c>
      <c r="D13" s="2" t="s">
        <v>54</v>
      </c>
      <c r="E13" s="2" t="s">
        <v>16</v>
      </c>
      <c r="F13" s="2" t="s">
        <v>39</v>
      </c>
      <c r="G13" s="2" t="s">
        <v>148</v>
      </c>
      <c r="H13" s="2" t="s">
        <v>27</v>
      </c>
      <c r="I13" s="2" t="s">
        <v>40</v>
      </c>
      <c r="J13" s="2">
        <v>44328</v>
      </c>
      <c r="K13" s="2">
        <v>9</v>
      </c>
      <c r="L13" s="2">
        <v>398952</v>
      </c>
      <c r="M13" s="2">
        <v>0</v>
      </c>
      <c r="N13" s="2">
        <v>398952</v>
      </c>
      <c r="O13" s="2">
        <f t="shared" si="0"/>
        <v>2</v>
      </c>
    </row>
    <row r="14" spans="1:15" x14ac:dyDescent="0.3">
      <c r="A14" s="2" t="s">
        <v>56</v>
      </c>
      <c r="B14" s="3">
        <v>44975</v>
      </c>
      <c r="C14" s="3">
        <v>44981</v>
      </c>
      <c r="D14" s="2" t="s">
        <v>35</v>
      </c>
      <c r="E14" s="2" t="s">
        <v>24</v>
      </c>
      <c r="F14" s="2" t="s">
        <v>57</v>
      </c>
      <c r="G14" s="2" t="s">
        <v>148</v>
      </c>
      <c r="H14" s="2" t="s">
        <v>19</v>
      </c>
      <c r="I14" s="2" t="s">
        <v>28</v>
      </c>
      <c r="J14" s="2">
        <v>0</v>
      </c>
      <c r="K14" s="2">
        <v>7</v>
      </c>
      <c r="L14" s="2">
        <v>0</v>
      </c>
      <c r="M14" s="2">
        <v>0.1</v>
      </c>
      <c r="N14" s="2">
        <v>-0.1</v>
      </c>
      <c r="O14" s="2">
        <f t="shared" si="0"/>
        <v>6</v>
      </c>
    </row>
    <row r="15" spans="1:15" x14ac:dyDescent="0.3">
      <c r="A15" s="2" t="s">
        <v>59</v>
      </c>
      <c r="B15" s="3">
        <v>44971</v>
      </c>
      <c r="C15" s="3">
        <v>44978</v>
      </c>
      <c r="D15" s="2" t="s">
        <v>48</v>
      </c>
      <c r="E15" s="2" t="s">
        <v>42</v>
      </c>
      <c r="F15" s="2" t="s">
        <v>25</v>
      </c>
      <c r="G15" s="2" t="s">
        <v>26</v>
      </c>
      <c r="H15" s="2" t="s">
        <v>27</v>
      </c>
      <c r="I15" s="2" t="s">
        <v>33</v>
      </c>
      <c r="J15" s="2">
        <v>3756</v>
      </c>
      <c r="K15" s="2">
        <v>4</v>
      </c>
      <c r="L15" s="2">
        <v>15024</v>
      </c>
      <c r="M15" s="2">
        <v>0.2</v>
      </c>
      <c r="N15" s="2">
        <v>15023.8</v>
      </c>
      <c r="O15" s="2">
        <f t="shared" si="0"/>
        <v>7</v>
      </c>
    </row>
    <row r="16" spans="1:15" x14ac:dyDescent="0.3">
      <c r="A16" s="2" t="s">
        <v>60</v>
      </c>
      <c r="B16" s="3">
        <v>44942</v>
      </c>
      <c r="C16" s="3">
        <v>44947</v>
      </c>
      <c r="D16" s="2" t="s">
        <v>30</v>
      </c>
      <c r="E16" s="2" t="s">
        <v>24</v>
      </c>
      <c r="F16" s="2" t="s">
        <v>17</v>
      </c>
      <c r="G16" s="2" t="s">
        <v>26</v>
      </c>
      <c r="H16" s="2" t="s">
        <v>45</v>
      </c>
      <c r="I16" s="2" t="s">
        <v>28</v>
      </c>
      <c r="J16" s="2">
        <v>0</v>
      </c>
      <c r="K16" s="2">
        <v>2</v>
      </c>
      <c r="L16" s="2">
        <v>0</v>
      </c>
      <c r="M16" s="2">
        <v>0.1</v>
      </c>
      <c r="N16" s="2">
        <v>-0.1</v>
      </c>
      <c r="O16" s="2">
        <f t="shared" si="0"/>
        <v>5</v>
      </c>
    </row>
    <row r="17" spans="1:15" x14ac:dyDescent="0.3">
      <c r="A17" s="2" t="s">
        <v>61</v>
      </c>
      <c r="B17" s="3">
        <v>44927</v>
      </c>
      <c r="C17" s="3">
        <v>44934</v>
      </c>
      <c r="D17" s="2" t="s">
        <v>35</v>
      </c>
      <c r="E17" s="2" t="s">
        <v>24</v>
      </c>
      <c r="F17" s="2" t="s">
        <v>17</v>
      </c>
      <c r="G17" s="2" t="s">
        <v>62</v>
      </c>
      <c r="H17" s="2" t="s">
        <v>27</v>
      </c>
      <c r="I17" s="2" t="s">
        <v>20</v>
      </c>
      <c r="J17" s="2">
        <v>200</v>
      </c>
      <c r="K17" s="2">
        <v>7</v>
      </c>
      <c r="L17" s="2">
        <v>1400</v>
      </c>
      <c r="M17" s="2">
        <v>0</v>
      </c>
      <c r="N17" s="2">
        <v>1400</v>
      </c>
      <c r="O17" s="2">
        <f t="shared" si="0"/>
        <v>7</v>
      </c>
    </row>
    <row r="18" spans="1:15" x14ac:dyDescent="0.3">
      <c r="A18" s="2" t="s">
        <v>63</v>
      </c>
      <c r="B18" s="3">
        <v>44960</v>
      </c>
      <c r="C18" s="3">
        <v>44963</v>
      </c>
      <c r="D18" s="2" t="s">
        <v>147</v>
      </c>
      <c r="E18" s="2" t="s">
        <v>24</v>
      </c>
      <c r="F18" s="2" t="s">
        <v>39</v>
      </c>
      <c r="G18" s="2" t="s">
        <v>62</v>
      </c>
      <c r="H18" s="2" t="s">
        <v>45</v>
      </c>
      <c r="I18" s="2" t="s">
        <v>51</v>
      </c>
      <c r="J18" s="2">
        <v>17251</v>
      </c>
      <c r="K18" s="2">
        <v>8</v>
      </c>
      <c r="L18" s="2">
        <v>138008</v>
      </c>
      <c r="M18" s="2">
        <v>0.2</v>
      </c>
      <c r="N18" s="2">
        <v>138007.79999999999</v>
      </c>
      <c r="O18" s="2">
        <f t="shared" si="0"/>
        <v>3</v>
      </c>
    </row>
    <row r="19" spans="1:15" x14ac:dyDescent="0.3">
      <c r="A19" s="2" t="s">
        <v>64</v>
      </c>
      <c r="B19" s="3">
        <v>44959</v>
      </c>
      <c r="C19" s="3">
        <v>44964</v>
      </c>
      <c r="D19" s="2" t="s">
        <v>30</v>
      </c>
      <c r="E19" s="2" t="s">
        <v>16</v>
      </c>
      <c r="F19" s="2" t="s">
        <v>57</v>
      </c>
      <c r="G19" s="2" t="s">
        <v>62</v>
      </c>
      <c r="H19" s="2" t="s">
        <v>45</v>
      </c>
      <c r="I19" s="2" t="s">
        <v>28</v>
      </c>
      <c r="J19" s="2">
        <v>0</v>
      </c>
      <c r="K19" s="2">
        <v>4</v>
      </c>
      <c r="L19" s="2">
        <v>0</v>
      </c>
      <c r="M19" s="2">
        <v>0</v>
      </c>
      <c r="N19" s="2">
        <v>0</v>
      </c>
      <c r="O19" s="2">
        <f t="shared" si="0"/>
        <v>5</v>
      </c>
    </row>
    <row r="20" spans="1:15" x14ac:dyDescent="0.3">
      <c r="A20" s="2" t="s">
        <v>65</v>
      </c>
      <c r="B20" s="3">
        <v>44929</v>
      </c>
      <c r="C20" s="3">
        <v>44935</v>
      </c>
      <c r="D20" s="2" t="s">
        <v>15</v>
      </c>
      <c r="E20" s="2" t="s">
        <v>16</v>
      </c>
      <c r="F20" s="2" t="s">
        <v>25</v>
      </c>
      <c r="G20" s="2" t="s">
        <v>32</v>
      </c>
      <c r="H20" s="2" t="s">
        <v>45</v>
      </c>
      <c r="I20" s="2" t="s">
        <v>28</v>
      </c>
      <c r="J20" s="2">
        <v>200</v>
      </c>
      <c r="K20" s="2">
        <v>6</v>
      </c>
      <c r="L20" s="2">
        <v>1200</v>
      </c>
      <c r="M20" s="2">
        <v>0.2</v>
      </c>
      <c r="N20" s="2">
        <v>1199.8</v>
      </c>
      <c r="O20" s="2">
        <f t="shared" si="0"/>
        <v>6</v>
      </c>
    </row>
    <row r="21" spans="1:15" x14ac:dyDescent="0.3">
      <c r="A21" s="2" t="s">
        <v>66</v>
      </c>
      <c r="B21" s="3">
        <v>44939</v>
      </c>
      <c r="C21" s="3">
        <v>44940</v>
      </c>
      <c r="D21" s="2" t="s">
        <v>23</v>
      </c>
      <c r="E21" s="2" t="s">
        <v>24</v>
      </c>
      <c r="F21" s="2" t="s">
        <v>31</v>
      </c>
      <c r="G21" s="2" t="s">
        <v>32</v>
      </c>
      <c r="H21" s="2" t="s">
        <v>45</v>
      </c>
      <c r="I21" s="2" t="s">
        <v>51</v>
      </c>
      <c r="J21" s="2">
        <v>43210</v>
      </c>
      <c r="K21" s="2">
        <v>2</v>
      </c>
      <c r="L21" s="2">
        <v>86420</v>
      </c>
      <c r="M21" s="2">
        <v>0.2</v>
      </c>
      <c r="N21" s="2">
        <v>86419.8</v>
      </c>
      <c r="O21" s="2">
        <f t="shared" si="0"/>
        <v>1</v>
      </c>
    </row>
    <row r="22" spans="1:15" x14ac:dyDescent="0.3">
      <c r="A22" s="2" t="s">
        <v>67</v>
      </c>
      <c r="B22" s="3">
        <v>44933</v>
      </c>
      <c r="C22" s="3">
        <v>44940</v>
      </c>
      <c r="D22" s="2" t="s">
        <v>30</v>
      </c>
      <c r="E22" s="2" t="s">
        <v>16</v>
      </c>
      <c r="F22" s="2" t="s">
        <v>36</v>
      </c>
      <c r="G22" s="2" t="s">
        <v>32</v>
      </c>
      <c r="H22" s="2" t="s">
        <v>19</v>
      </c>
      <c r="I22" s="2" t="s">
        <v>28</v>
      </c>
      <c r="J22" s="2">
        <v>41010</v>
      </c>
      <c r="K22" s="2">
        <v>7</v>
      </c>
      <c r="L22" s="2">
        <v>287070</v>
      </c>
      <c r="M22" s="2">
        <v>0.2</v>
      </c>
      <c r="N22" s="2">
        <v>287069.8</v>
      </c>
      <c r="O22" s="2">
        <f t="shared" si="0"/>
        <v>7</v>
      </c>
    </row>
    <row r="23" spans="1:15" x14ac:dyDescent="0.3">
      <c r="A23" s="2" t="s">
        <v>68</v>
      </c>
      <c r="B23" s="3">
        <v>44942</v>
      </c>
      <c r="C23" s="3">
        <v>44944</v>
      </c>
      <c r="D23" s="2" t="s">
        <v>30</v>
      </c>
      <c r="E23" s="2" t="s">
        <v>24</v>
      </c>
      <c r="F23" s="2" t="s">
        <v>57</v>
      </c>
      <c r="G23" s="2" t="s">
        <v>62</v>
      </c>
      <c r="H23" s="2" t="s">
        <v>45</v>
      </c>
      <c r="I23" s="2" t="s">
        <v>20</v>
      </c>
      <c r="J23" s="2">
        <v>0</v>
      </c>
      <c r="K23" s="2">
        <v>10</v>
      </c>
      <c r="L23" s="2">
        <v>0</v>
      </c>
      <c r="M23" s="2">
        <v>0.1</v>
      </c>
      <c r="N23" s="2">
        <v>-0.1</v>
      </c>
      <c r="O23" s="2">
        <f t="shared" si="0"/>
        <v>2</v>
      </c>
    </row>
    <row r="24" spans="1:15" x14ac:dyDescent="0.3">
      <c r="A24" s="2" t="s">
        <v>70</v>
      </c>
      <c r="B24" s="3">
        <v>44946</v>
      </c>
      <c r="C24" s="3">
        <v>44950</v>
      </c>
      <c r="D24" s="2" t="s">
        <v>50</v>
      </c>
      <c r="E24" s="2" t="s">
        <v>16</v>
      </c>
      <c r="F24" s="2" t="s">
        <v>39</v>
      </c>
      <c r="G24" s="2" t="s">
        <v>148</v>
      </c>
      <c r="H24" s="2" t="s">
        <v>45</v>
      </c>
      <c r="I24" s="2" t="s">
        <v>51</v>
      </c>
      <c r="J24" s="2">
        <v>200</v>
      </c>
      <c r="K24" s="2">
        <v>2</v>
      </c>
      <c r="L24" s="2">
        <v>400</v>
      </c>
      <c r="M24" s="2">
        <v>0.2</v>
      </c>
      <c r="N24" s="2">
        <v>399.8</v>
      </c>
      <c r="O24" s="2">
        <f t="shared" si="0"/>
        <v>4</v>
      </c>
    </row>
    <row r="25" spans="1:15" x14ac:dyDescent="0.3">
      <c r="A25" s="2" t="s">
        <v>71</v>
      </c>
      <c r="B25" s="3">
        <v>44976</v>
      </c>
      <c r="C25" s="3">
        <v>44977</v>
      </c>
      <c r="D25" s="2" t="s">
        <v>30</v>
      </c>
      <c r="E25" s="2" t="s">
        <v>24</v>
      </c>
      <c r="F25" s="2" t="s">
        <v>39</v>
      </c>
      <c r="G25" s="2" t="s">
        <v>32</v>
      </c>
      <c r="H25" s="2" t="s">
        <v>27</v>
      </c>
      <c r="I25" s="2" t="s">
        <v>40</v>
      </c>
      <c r="J25" s="2">
        <v>200</v>
      </c>
      <c r="K25" s="2">
        <v>8</v>
      </c>
      <c r="L25" s="2">
        <v>1600</v>
      </c>
      <c r="M25" s="2">
        <v>0</v>
      </c>
      <c r="N25" s="2">
        <v>1600</v>
      </c>
      <c r="O25" s="2">
        <f t="shared" si="0"/>
        <v>1</v>
      </c>
    </row>
    <row r="26" spans="1:15" x14ac:dyDescent="0.3">
      <c r="A26" s="2" t="s">
        <v>72</v>
      </c>
      <c r="B26" s="3">
        <v>44945</v>
      </c>
      <c r="C26" s="3">
        <v>44946</v>
      </c>
      <c r="D26" s="2" t="s">
        <v>54</v>
      </c>
      <c r="E26" s="2" t="s">
        <v>16</v>
      </c>
      <c r="F26" s="2" t="s">
        <v>36</v>
      </c>
      <c r="G26" s="2" t="s">
        <v>148</v>
      </c>
      <c r="H26" s="2" t="s">
        <v>45</v>
      </c>
      <c r="I26" s="2" t="s">
        <v>73</v>
      </c>
      <c r="J26" s="2">
        <v>55161</v>
      </c>
      <c r="K26" s="2">
        <v>2</v>
      </c>
      <c r="L26" s="2">
        <v>110322</v>
      </c>
      <c r="M26" s="2">
        <v>0</v>
      </c>
      <c r="N26" s="2">
        <v>110322</v>
      </c>
      <c r="O26" s="2">
        <f t="shared" si="0"/>
        <v>1</v>
      </c>
    </row>
    <row r="27" spans="1:15" x14ac:dyDescent="0.3">
      <c r="A27" s="2" t="s">
        <v>74</v>
      </c>
      <c r="B27" s="3">
        <v>44982</v>
      </c>
      <c r="C27" s="3">
        <v>44988</v>
      </c>
      <c r="D27" s="2" t="s">
        <v>23</v>
      </c>
      <c r="E27" s="2" t="s">
        <v>24</v>
      </c>
      <c r="F27" s="2" t="s">
        <v>149</v>
      </c>
      <c r="G27" s="2" t="s">
        <v>18</v>
      </c>
      <c r="H27" s="2" t="s">
        <v>27</v>
      </c>
      <c r="I27" s="2" t="s">
        <v>40</v>
      </c>
      <c r="J27" s="2">
        <v>200</v>
      </c>
      <c r="K27" s="2">
        <v>9</v>
      </c>
      <c r="L27" s="2">
        <v>1800</v>
      </c>
      <c r="M27" s="2">
        <v>0</v>
      </c>
      <c r="N27" s="2">
        <v>1800</v>
      </c>
      <c r="O27" s="2">
        <f t="shared" si="0"/>
        <v>6</v>
      </c>
    </row>
    <row r="28" spans="1:15" x14ac:dyDescent="0.3">
      <c r="A28" s="2" t="s">
        <v>76</v>
      </c>
      <c r="B28" s="3">
        <v>44956</v>
      </c>
      <c r="C28" s="3">
        <v>44962</v>
      </c>
      <c r="D28" s="2" t="s">
        <v>54</v>
      </c>
      <c r="E28" s="2" t="s">
        <v>24</v>
      </c>
      <c r="F28" s="2" t="s">
        <v>25</v>
      </c>
      <c r="G28" s="2" t="s">
        <v>148</v>
      </c>
      <c r="H28" s="2" t="s">
        <v>19</v>
      </c>
      <c r="I28" s="2" t="s">
        <v>51</v>
      </c>
      <c r="J28" s="2">
        <v>0</v>
      </c>
      <c r="K28" s="2">
        <v>9</v>
      </c>
      <c r="L28" s="2">
        <v>0</v>
      </c>
      <c r="M28" s="2">
        <v>0</v>
      </c>
      <c r="N28" s="2">
        <v>0</v>
      </c>
      <c r="O28" s="2">
        <f t="shared" si="0"/>
        <v>6</v>
      </c>
    </row>
    <row r="29" spans="1:15" x14ac:dyDescent="0.3">
      <c r="A29" s="2" t="s">
        <v>77</v>
      </c>
      <c r="B29" s="3">
        <v>44979</v>
      </c>
      <c r="C29" s="3">
        <v>44986</v>
      </c>
      <c r="D29" s="2" t="s">
        <v>147</v>
      </c>
      <c r="E29" s="2" t="s">
        <v>24</v>
      </c>
      <c r="F29" s="2" t="s">
        <v>57</v>
      </c>
      <c r="G29" s="2" t="s">
        <v>26</v>
      </c>
      <c r="H29" s="2" t="s">
        <v>45</v>
      </c>
      <c r="I29" s="2" t="s">
        <v>73</v>
      </c>
      <c r="J29" s="2">
        <v>35633</v>
      </c>
      <c r="K29" s="2">
        <v>2</v>
      </c>
      <c r="L29" s="2">
        <v>71266</v>
      </c>
      <c r="M29" s="2">
        <v>0</v>
      </c>
      <c r="N29" s="2">
        <v>71266</v>
      </c>
      <c r="O29" s="2">
        <f t="shared" si="0"/>
        <v>7</v>
      </c>
    </row>
    <row r="30" spans="1:15" x14ac:dyDescent="0.3">
      <c r="A30" s="2" t="s">
        <v>78</v>
      </c>
      <c r="B30" s="3">
        <v>44967</v>
      </c>
      <c r="C30" s="3">
        <v>44969</v>
      </c>
      <c r="D30" s="2" t="s">
        <v>54</v>
      </c>
      <c r="E30" s="2" t="s">
        <v>42</v>
      </c>
      <c r="F30" s="2" t="s">
        <v>31</v>
      </c>
      <c r="G30" s="2" t="s">
        <v>26</v>
      </c>
      <c r="H30" s="2" t="s">
        <v>45</v>
      </c>
      <c r="I30" s="2" t="s">
        <v>20</v>
      </c>
      <c r="J30" s="2">
        <v>200</v>
      </c>
      <c r="K30" s="2">
        <v>5</v>
      </c>
      <c r="L30" s="2">
        <v>1000</v>
      </c>
      <c r="M30" s="2">
        <v>0.2</v>
      </c>
      <c r="N30" s="2">
        <v>999.8</v>
      </c>
      <c r="O30" s="2">
        <f t="shared" si="0"/>
        <v>2</v>
      </c>
    </row>
    <row r="31" spans="1:15" x14ac:dyDescent="0.3">
      <c r="A31" s="2" t="s">
        <v>81</v>
      </c>
      <c r="B31" s="3">
        <v>44986</v>
      </c>
      <c r="C31" s="3">
        <v>44990</v>
      </c>
      <c r="D31" s="2" t="s">
        <v>15</v>
      </c>
      <c r="E31" s="2" t="s">
        <v>24</v>
      </c>
      <c r="F31" s="2" t="s">
        <v>57</v>
      </c>
      <c r="G31" s="2" t="s">
        <v>148</v>
      </c>
      <c r="H31" s="2" t="s">
        <v>45</v>
      </c>
      <c r="I31" s="2" t="s">
        <v>73</v>
      </c>
      <c r="J31" s="2">
        <v>200</v>
      </c>
      <c r="K31" s="2">
        <v>1</v>
      </c>
      <c r="L31" s="2">
        <v>200</v>
      </c>
      <c r="M31" s="2">
        <v>0</v>
      </c>
      <c r="N31" s="2">
        <v>200</v>
      </c>
      <c r="O31" s="2">
        <f t="shared" si="0"/>
        <v>4</v>
      </c>
    </row>
    <row r="32" spans="1:15" x14ac:dyDescent="0.3">
      <c r="A32" s="2" t="s">
        <v>82</v>
      </c>
      <c r="B32" s="3">
        <v>44951</v>
      </c>
      <c r="C32" s="3">
        <v>44957</v>
      </c>
      <c r="D32" s="2" t="s">
        <v>15</v>
      </c>
      <c r="E32" s="2" t="s">
        <v>24</v>
      </c>
      <c r="F32" s="2" t="s">
        <v>149</v>
      </c>
      <c r="G32" s="2" t="s">
        <v>62</v>
      </c>
      <c r="H32" s="2" t="s">
        <v>45</v>
      </c>
      <c r="I32" s="2" t="s">
        <v>28</v>
      </c>
      <c r="J32" s="2">
        <v>0</v>
      </c>
      <c r="K32" s="2">
        <v>8</v>
      </c>
      <c r="L32" s="2">
        <v>0</v>
      </c>
      <c r="M32" s="2">
        <v>0.1</v>
      </c>
      <c r="N32" s="2">
        <v>-0.1</v>
      </c>
      <c r="O32" s="2">
        <f t="shared" si="0"/>
        <v>6</v>
      </c>
    </row>
    <row r="33" spans="1:15" x14ac:dyDescent="0.3">
      <c r="A33" s="2" t="s">
        <v>83</v>
      </c>
      <c r="B33" s="3">
        <v>44985</v>
      </c>
      <c r="C33" s="3">
        <v>44987</v>
      </c>
      <c r="D33" s="2" t="s">
        <v>23</v>
      </c>
      <c r="E33" s="2" t="s">
        <v>24</v>
      </c>
      <c r="F33" s="2" t="s">
        <v>17</v>
      </c>
      <c r="G33" s="2" t="s">
        <v>18</v>
      </c>
      <c r="H33" s="2" t="s">
        <v>19</v>
      </c>
      <c r="I33" s="2" t="s">
        <v>28</v>
      </c>
      <c r="J33" s="2">
        <v>22479</v>
      </c>
      <c r="K33" s="2">
        <v>3</v>
      </c>
      <c r="L33" s="2">
        <v>67437</v>
      </c>
      <c r="M33" s="2">
        <v>0.1</v>
      </c>
      <c r="N33" s="2">
        <v>67436.899999999994</v>
      </c>
      <c r="O33" s="2">
        <f t="shared" si="0"/>
        <v>2</v>
      </c>
    </row>
    <row r="34" spans="1:15" x14ac:dyDescent="0.3">
      <c r="A34" s="2" t="s">
        <v>84</v>
      </c>
      <c r="B34" s="3">
        <v>44939</v>
      </c>
      <c r="C34" s="3">
        <v>44943</v>
      </c>
      <c r="D34" s="2" t="s">
        <v>147</v>
      </c>
      <c r="E34" s="2" t="s">
        <v>24</v>
      </c>
      <c r="F34" s="2" t="s">
        <v>17</v>
      </c>
      <c r="G34" s="2" t="s">
        <v>26</v>
      </c>
      <c r="H34" s="2" t="s">
        <v>27</v>
      </c>
      <c r="I34" s="2" t="s">
        <v>51</v>
      </c>
      <c r="J34" s="2">
        <v>0</v>
      </c>
      <c r="K34" s="2">
        <v>3</v>
      </c>
      <c r="L34" s="2">
        <v>0</v>
      </c>
      <c r="M34" s="2">
        <v>0.05</v>
      </c>
      <c r="N34" s="2">
        <v>-0.05</v>
      </c>
      <c r="O34" s="2">
        <f t="shared" ref="O34:O65" si="1">C34-B34</f>
        <v>4</v>
      </c>
    </row>
    <row r="35" spans="1:15" x14ac:dyDescent="0.3">
      <c r="A35" s="2" t="s">
        <v>85</v>
      </c>
      <c r="B35" s="3">
        <v>44976</v>
      </c>
      <c r="C35" s="3">
        <v>44980</v>
      </c>
      <c r="D35" s="2" t="s">
        <v>48</v>
      </c>
      <c r="E35" s="2" t="s">
        <v>16</v>
      </c>
      <c r="F35" s="2" t="s">
        <v>149</v>
      </c>
      <c r="G35" s="2" t="s">
        <v>18</v>
      </c>
      <c r="H35" s="2" t="s">
        <v>45</v>
      </c>
      <c r="I35" s="2" t="s">
        <v>73</v>
      </c>
      <c r="J35" s="2">
        <v>200</v>
      </c>
      <c r="K35" s="2">
        <v>3</v>
      </c>
      <c r="L35" s="2">
        <v>600</v>
      </c>
      <c r="M35" s="2">
        <v>0</v>
      </c>
      <c r="N35" s="2">
        <v>600</v>
      </c>
      <c r="O35" s="2">
        <f t="shared" si="1"/>
        <v>4</v>
      </c>
    </row>
    <row r="36" spans="1:15" x14ac:dyDescent="0.3">
      <c r="A36" s="2" t="s">
        <v>86</v>
      </c>
      <c r="B36" s="3">
        <v>44964</v>
      </c>
      <c r="C36" s="3">
        <v>44966</v>
      </c>
      <c r="D36" s="2" t="s">
        <v>48</v>
      </c>
      <c r="E36" s="2" t="s">
        <v>24</v>
      </c>
      <c r="F36" s="2" t="s">
        <v>39</v>
      </c>
      <c r="G36" s="2" t="s">
        <v>26</v>
      </c>
      <c r="H36" s="2" t="s">
        <v>27</v>
      </c>
      <c r="I36" s="2" t="s">
        <v>73</v>
      </c>
      <c r="J36" s="2">
        <v>0</v>
      </c>
      <c r="K36" s="2">
        <v>4</v>
      </c>
      <c r="L36" s="2">
        <v>0</v>
      </c>
      <c r="M36" s="2">
        <v>0.1</v>
      </c>
      <c r="N36" s="2">
        <v>-0.1</v>
      </c>
      <c r="O36" s="2">
        <f t="shared" si="1"/>
        <v>2</v>
      </c>
    </row>
    <row r="37" spans="1:15" x14ac:dyDescent="0.3">
      <c r="A37" s="2" t="s">
        <v>87</v>
      </c>
      <c r="B37" s="3">
        <v>44977</v>
      </c>
      <c r="C37" s="3">
        <v>44983</v>
      </c>
      <c r="D37" s="2" t="s">
        <v>35</v>
      </c>
      <c r="E37" s="2" t="s">
        <v>42</v>
      </c>
      <c r="F37" s="2" t="s">
        <v>57</v>
      </c>
      <c r="G37" s="2" t="s">
        <v>18</v>
      </c>
      <c r="H37" s="2" t="s">
        <v>45</v>
      </c>
      <c r="I37" s="2" t="s">
        <v>73</v>
      </c>
      <c r="J37" s="2">
        <v>0</v>
      </c>
      <c r="K37" s="2">
        <v>5</v>
      </c>
      <c r="L37" s="2">
        <v>0</v>
      </c>
      <c r="M37" s="2">
        <v>0.05</v>
      </c>
      <c r="N37" s="2">
        <v>-0.05</v>
      </c>
      <c r="O37" s="2">
        <f t="shared" si="1"/>
        <v>6</v>
      </c>
    </row>
    <row r="38" spans="1:15" x14ac:dyDescent="0.3">
      <c r="A38" s="2" t="s">
        <v>90</v>
      </c>
      <c r="B38" s="3">
        <v>44984</v>
      </c>
      <c r="C38" s="3">
        <v>44989</v>
      </c>
      <c r="D38" s="2" t="s">
        <v>48</v>
      </c>
      <c r="E38" s="2" t="s">
        <v>16</v>
      </c>
      <c r="F38" s="2" t="s">
        <v>36</v>
      </c>
      <c r="G38" s="2" t="s">
        <v>18</v>
      </c>
      <c r="H38" s="2" t="s">
        <v>45</v>
      </c>
      <c r="I38" s="2" t="s">
        <v>73</v>
      </c>
      <c r="J38" s="2">
        <v>200</v>
      </c>
      <c r="K38" s="2">
        <v>3</v>
      </c>
      <c r="L38" s="2">
        <v>600</v>
      </c>
      <c r="M38" s="2">
        <v>0</v>
      </c>
      <c r="N38" s="2">
        <v>600</v>
      </c>
      <c r="O38" s="2">
        <f t="shared" si="1"/>
        <v>5</v>
      </c>
    </row>
    <row r="39" spans="1:15" x14ac:dyDescent="0.3">
      <c r="A39" s="2" t="s">
        <v>91</v>
      </c>
      <c r="B39" s="3">
        <v>44958</v>
      </c>
      <c r="C39" s="3">
        <v>44961</v>
      </c>
      <c r="D39" s="2" t="s">
        <v>35</v>
      </c>
      <c r="E39" s="2" t="s">
        <v>24</v>
      </c>
      <c r="F39" s="2" t="s">
        <v>36</v>
      </c>
      <c r="G39" s="2" t="s">
        <v>148</v>
      </c>
      <c r="H39" s="2" t="s">
        <v>19</v>
      </c>
      <c r="I39" s="2" t="s">
        <v>20</v>
      </c>
      <c r="J39" s="2">
        <v>0</v>
      </c>
      <c r="K39" s="2">
        <v>9</v>
      </c>
      <c r="L39" s="2">
        <v>0</v>
      </c>
      <c r="M39" s="2">
        <v>0.05</v>
      </c>
      <c r="N39" s="2">
        <v>-0.05</v>
      </c>
      <c r="O39" s="2">
        <f t="shared" si="1"/>
        <v>3</v>
      </c>
    </row>
    <row r="40" spans="1:15" x14ac:dyDescent="0.3">
      <c r="A40" s="2" t="s">
        <v>92</v>
      </c>
      <c r="B40" s="3">
        <v>44928</v>
      </c>
      <c r="C40" s="3">
        <v>44935</v>
      </c>
      <c r="D40" s="2" t="s">
        <v>15</v>
      </c>
      <c r="E40" s="2" t="s">
        <v>42</v>
      </c>
      <c r="F40" s="2" t="s">
        <v>39</v>
      </c>
      <c r="G40" s="2" t="s">
        <v>26</v>
      </c>
      <c r="H40" s="2" t="s">
        <v>45</v>
      </c>
      <c r="I40" s="2" t="s">
        <v>28</v>
      </c>
      <c r="J40" s="2">
        <v>21824</v>
      </c>
      <c r="K40" s="2">
        <v>3</v>
      </c>
      <c r="L40" s="2">
        <v>65472</v>
      </c>
      <c r="M40" s="2">
        <v>0</v>
      </c>
      <c r="N40" s="2">
        <v>65472</v>
      </c>
      <c r="O40" s="2">
        <f t="shared" si="1"/>
        <v>7</v>
      </c>
    </row>
    <row r="41" spans="1:15" x14ac:dyDescent="0.3">
      <c r="A41" s="2" t="s">
        <v>93</v>
      </c>
      <c r="B41" s="3">
        <v>44943</v>
      </c>
      <c r="C41" s="3">
        <v>44946</v>
      </c>
      <c r="D41" s="2" t="s">
        <v>15</v>
      </c>
      <c r="E41" s="2" t="s">
        <v>42</v>
      </c>
      <c r="F41" s="2" t="s">
        <v>25</v>
      </c>
      <c r="G41" s="2" t="s">
        <v>62</v>
      </c>
      <c r="H41" s="2" t="s">
        <v>45</v>
      </c>
      <c r="I41" s="2" t="s">
        <v>51</v>
      </c>
      <c r="J41" s="2">
        <v>0</v>
      </c>
      <c r="K41" s="2">
        <v>8</v>
      </c>
      <c r="L41" s="2">
        <v>0</v>
      </c>
      <c r="M41" s="2">
        <v>0.1</v>
      </c>
      <c r="N41" s="2">
        <v>-0.1</v>
      </c>
      <c r="O41" s="2">
        <f t="shared" si="1"/>
        <v>3</v>
      </c>
    </row>
    <row r="42" spans="1:15" x14ac:dyDescent="0.3">
      <c r="A42" s="2" t="s">
        <v>94</v>
      </c>
      <c r="B42" s="3">
        <v>44985</v>
      </c>
      <c r="C42" s="3">
        <v>44987</v>
      </c>
      <c r="D42" s="2" t="s">
        <v>50</v>
      </c>
      <c r="E42" s="2" t="s">
        <v>24</v>
      </c>
      <c r="F42" s="2" t="s">
        <v>25</v>
      </c>
      <c r="G42" s="2" t="s">
        <v>148</v>
      </c>
      <c r="H42" s="2" t="s">
        <v>27</v>
      </c>
      <c r="I42" s="2" t="s">
        <v>51</v>
      </c>
      <c r="J42" s="2">
        <v>0</v>
      </c>
      <c r="K42" s="2">
        <v>5</v>
      </c>
      <c r="L42" s="2">
        <v>0</v>
      </c>
      <c r="M42" s="2">
        <v>0</v>
      </c>
      <c r="N42" s="2">
        <v>0</v>
      </c>
      <c r="O42" s="2">
        <f t="shared" si="1"/>
        <v>2</v>
      </c>
    </row>
    <row r="43" spans="1:15" x14ac:dyDescent="0.3">
      <c r="A43" s="2" t="s">
        <v>95</v>
      </c>
      <c r="B43" s="3">
        <v>44951</v>
      </c>
      <c r="C43" s="3">
        <v>44958</v>
      </c>
      <c r="D43" s="2" t="s">
        <v>54</v>
      </c>
      <c r="E43" s="2" t="s">
        <v>24</v>
      </c>
      <c r="F43" s="2" t="s">
        <v>25</v>
      </c>
      <c r="G43" s="2" t="s">
        <v>18</v>
      </c>
      <c r="H43" s="2" t="s">
        <v>19</v>
      </c>
      <c r="I43" s="2" t="s">
        <v>33</v>
      </c>
      <c r="J43" s="2">
        <v>0</v>
      </c>
      <c r="K43" s="2">
        <v>2</v>
      </c>
      <c r="L43" s="2">
        <v>0</v>
      </c>
      <c r="M43" s="2">
        <v>0.1</v>
      </c>
      <c r="N43" s="2">
        <v>-0.1</v>
      </c>
      <c r="O43" s="2">
        <f t="shared" si="1"/>
        <v>7</v>
      </c>
    </row>
    <row r="44" spans="1:15" x14ac:dyDescent="0.3">
      <c r="A44" s="2" t="s">
        <v>96</v>
      </c>
      <c r="B44" s="3">
        <v>44971</v>
      </c>
      <c r="C44" s="3">
        <v>44974</v>
      </c>
      <c r="D44" s="2" t="s">
        <v>30</v>
      </c>
      <c r="E44" s="2" t="s">
        <v>42</v>
      </c>
      <c r="F44" s="2" t="s">
        <v>39</v>
      </c>
      <c r="G44" s="2" t="s">
        <v>32</v>
      </c>
      <c r="H44" s="2" t="s">
        <v>27</v>
      </c>
      <c r="I44" s="2" t="s">
        <v>28</v>
      </c>
      <c r="J44" s="2">
        <v>21801</v>
      </c>
      <c r="K44" s="2">
        <v>10</v>
      </c>
      <c r="L44" s="2">
        <v>218010</v>
      </c>
      <c r="M44" s="2">
        <v>0.1</v>
      </c>
      <c r="N44" s="2">
        <v>218009.9</v>
      </c>
      <c r="O44" s="2">
        <f t="shared" si="1"/>
        <v>3</v>
      </c>
    </row>
    <row r="45" spans="1:15" x14ac:dyDescent="0.3">
      <c r="A45" s="2" t="s">
        <v>97</v>
      </c>
      <c r="B45" s="3">
        <v>44975</v>
      </c>
      <c r="C45" s="3">
        <v>44980</v>
      </c>
      <c r="D45" s="2" t="s">
        <v>54</v>
      </c>
      <c r="E45" s="2" t="s">
        <v>42</v>
      </c>
      <c r="F45" s="2" t="s">
        <v>17</v>
      </c>
      <c r="G45" s="2" t="s">
        <v>18</v>
      </c>
      <c r="H45" s="2" t="s">
        <v>45</v>
      </c>
      <c r="I45" s="2" t="s">
        <v>33</v>
      </c>
      <c r="J45" s="2">
        <v>56299</v>
      </c>
      <c r="K45" s="2">
        <v>1</v>
      </c>
      <c r="L45" s="2">
        <v>56299</v>
      </c>
      <c r="M45" s="2">
        <v>0</v>
      </c>
      <c r="N45" s="2">
        <v>56299</v>
      </c>
      <c r="O45" s="2">
        <f t="shared" si="1"/>
        <v>5</v>
      </c>
    </row>
    <row r="46" spans="1:15" x14ac:dyDescent="0.3">
      <c r="A46" s="2" t="s">
        <v>98</v>
      </c>
      <c r="B46" s="3">
        <v>44951</v>
      </c>
      <c r="C46" s="3">
        <v>44954</v>
      </c>
      <c r="D46" s="2" t="s">
        <v>54</v>
      </c>
      <c r="E46" s="2" t="s">
        <v>16</v>
      </c>
      <c r="F46" s="2" t="s">
        <v>57</v>
      </c>
      <c r="G46" s="2" t="s">
        <v>148</v>
      </c>
      <c r="H46" s="2" t="s">
        <v>19</v>
      </c>
      <c r="I46" s="2" t="s">
        <v>73</v>
      </c>
      <c r="J46" s="2">
        <v>0</v>
      </c>
      <c r="K46" s="2">
        <v>7</v>
      </c>
      <c r="L46" s="2">
        <v>0</v>
      </c>
      <c r="M46" s="2">
        <v>0.1</v>
      </c>
      <c r="N46" s="2">
        <v>-0.1</v>
      </c>
      <c r="O46" s="2">
        <f t="shared" si="1"/>
        <v>3</v>
      </c>
    </row>
    <row r="47" spans="1:15" x14ac:dyDescent="0.3">
      <c r="A47" s="2" t="s">
        <v>99</v>
      </c>
      <c r="B47" s="3">
        <v>44977</v>
      </c>
      <c r="C47" s="3">
        <v>44979</v>
      </c>
      <c r="D47" s="2" t="s">
        <v>35</v>
      </c>
      <c r="E47" s="2" t="s">
        <v>24</v>
      </c>
      <c r="F47" s="2" t="s">
        <v>149</v>
      </c>
      <c r="G47" s="2" t="s">
        <v>18</v>
      </c>
      <c r="H47" s="2" t="s">
        <v>19</v>
      </c>
      <c r="I47" s="2" t="s">
        <v>73</v>
      </c>
      <c r="J47" s="2">
        <v>0</v>
      </c>
      <c r="K47" s="2">
        <v>1</v>
      </c>
      <c r="L47" s="2">
        <v>0</v>
      </c>
      <c r="M47" s="2">
        <v>0.05</v>
      </c>
      <c r="N47" s="2">
        <v>-0.05</v>
      </c>
      <c r="O47" s="2">
        <f t="shared" si="1"/>
        <v>2</v>
      </c>
    </row>
    <row r="48" spans="1:15" x14ac:dyDescent="0.3">
      <c r="A48" s="2" t="s">
        <v>101</v>
      </c>
      <c r="B48" s="3">
        <v>44972</v>
      </c>
      <c r="C48" s="3">
        <v>44977</v>
      </c>
      <c r="D48" s="2" t="s">
        <v>54</v>
      </c>
      <c r="E48" s="2" t="s">
        <v>42</v>
      </c>
      <c r="F48" s="2" t="s">
        <v>39</v>
      </c>
      <c r="G48" s="2" t="s">
        <v>148</v>
      </c>
      <c r="H48" s="2" t="s">
        <v>19</v>
      </c>
      <c r="I48" s="2" t="s">
        <v>33</v>
      </c>
      <c r="J48" s="2">
        <v>200</v>
      </c>
      <c r="K48" s="2">
        <v>10</v>
      </c>
      <c r="L48" s="2">
        <v>2000</v>
      </c>
      <c r="M48" s="2">
        <v>0</v>
      </c>
      <c r="N48" s="2">
        <v>2000</v>
      </c>
      <c r="O48" s="2">
        <f t="shared" si="1"/>
        <v>5</v>
      </c>
    </row>
    <row r="49" spans="1:15" x14ac:dyDescent="0.3">
      <c r="A49" s="2" t="s">
        <v>103</v>
      </c>
      <c r="B49" s="3">
        <v>44927</v>
      </c>
      <c r="C49" s="3">
        <v>44932</v>
      </c>
      <c r="D49" s="2" t="s">
        <v>23</v>
      </c>
      <c r="E49" s="2" t="s">
        <v>24</v>
      </c>
      <c r="F49" s="2" t="s">
        <v>39</v>
      </c>
      <c r="G49" s="2" t="s">
        <v>18</v>
      </c>
      <c r="H49" s="2" t="s">
        <v>27</v>
      </c>
      <c r="I49" s="2" t="s">
        <v>40</v>
      </c>
      <c r="J49" s="2">
        <v>18719</v>
      </c>
      <c r="K49" s="2">
        <v>4</v>
      </c>
      <c r="L49" s="2">
        <v>74876</v>
      </c>
      <c r="M49" s="2">
        <v>0.05</v>
      </c>
      <c r="N49" s="2">
        <v>74875.95</v>
      </c>
      <c r="O49" s="2">
        <f t="shared" si="1"/>
        <v>5</v>
      </c>
    </row>
    <row r="50" spans="1:15" x14ac:dyDescent="0.3">
      <c r="A50" s="2" t="s">
        <v>104</v>
      </c>
      <c r="B50" s="3">
        <v>44959</v>
      </c>
      <c r="C50" s="3">
        <v>44963</v>
      </c>
      <c r="D50" s="2" t="s">
        <v>30</v>
      </c>
      <c r="E50" s="2" t="s">
        <v>42</v>
      </c>
      <c r="F50" s="2" t="s">
        <v>17</v>
      </c>
      <c r="G50" s="2" t="s">
        <v>26</v>
      </c>
      <c r="H50" s="2" t="s">
        <v>19</v>
      </c>
      <c r="I50" s="2" t="s">
        <v>40</v>
      </c>
      <c r="J50" s="2">
        <v>0</v>
      </c>
      <c r="K50" s="2">
        <v>10</v>
      </c>
      <c r="L50" s="2">
        <v>0</v>
      </c>
      <c r="M50" s="2">
        <v>0.1</v>
      </c>
      <c r="N50" s="2">
        <v>-0.1</v>
      </c>
      <c r="O50" s="2">
        <f t="shared" si="1"/>
        <v>4</v>
      </c>
    </row>
    <row r="51" spans="1:15" x14ac:dyDescent="0.3">
      <c r="A51" s="2" t="s">
        <v>105</v>
      </c>
      <c r="B51" s="3">
        <v>44973</v>
      </c>
      <c r="C51" s="3">
        <v>44974</v>
      </c>
      <c r="D51" s="2" t="s">
        <v>50</v>
      </c>
      <c r="E51" s="2" t="s">
        <v>42</v>
      </c>
      <c r="F51" s="2" t="s">
        <v>31</v>
      </c>
      <c r="G51" s="2" t="s">
        <v>32</v>
      </c>
      <c r="H51" s="2" t="s">
        <v>19</v>
      </c>
      <c r="I51" s="2" t="s">
        <v>51</v>
      </c>
      <c r="J51" s="2">
        <v>30157</v>
      </c>
      <c r="K51" s="2">
        <v>3</v>
      </c>
      <c r="L51" s="2">
        <v>90471</v>
      </c>
      <c r="M51" s="2">
        <v>0.2</v>
      </c>
      <c r="N51" s="2">
        <v>90470.8</v>
      </c>
      <c r="O51" s="2">
        <f t="shared" si="1"/>
        <v>1</v>
      </c>
    </row>
    <row r="52" spans="1:15" x14ac:dyDescent="0.3">
      <c r="A52" s="2" t="s">
        <v>107</v>
      </c>
      <c r="B52" s="3">
        <v>44950</v>
      </c>
      <c r="C52" s="3">
        <v>44951</v>
      </c>
      <c r="D52" s="2" t="s">
        <v>147</v>
      </c>
      <c r="E52" s="2" t="s">
        <v>16</v>
      </c>
      <c r="F52" s="2" t="s">
        <v>39</v>
      </c>
      <c r="G52" s="2" t="s">
        <v>18</v>
      </c>
      <c r="H52" s="2" t="s">
        <v>19</v>
      </c>
      <c r="I52" s="2" t="s">
        <v>40</v>
      </c>
      <c r="J52" s="2">
        <v>0</v>
      </c>
      <c r="K52" s="2">
        <v>9</v>
      </c>
      <c r="L52" s="2">
        <v>0</v>
      </c>
      <c r="M52" s="2">
        <v>0</v>
      </c>
      <c r="N52" s="2">
        <v>0</v>
      </c>
      <c r="O52" s="2">
        <f t="shared" si="1"/>
        <v>1</v>
      </c>
    </row>
    <row r="53" spans="1:15" x14ac:dyDescent="0.3">
      <c r="A53" s="2" t="s">
        <v>109</v>
      </c>
      <c r="B53" s="3">
        <v>44983</v>
      </c>
      <c r="C53" s="3">
        <v>44985</v>
      </c>
      <c r="D53" s="2" t="s">
        <v>48</v>
      </c>
      <c r="E53" s="2" t="s">
        <v>42</v>
      </c>
      <c r="F53" s="2" t="s">
        <v>149</v>
      </c>
      <c r="G53" s="2" t="s">
        <v>62</v>
      </c>
      <c r="H53" s="2" t="s">
        <v>45</v>
      </c>
      <c r="I53" s="2" t="s">
        <v>51</v>
      </c>
      <c r="J53" s="2">
        <v>18890</v>
      </c>
      <c r="K53" s="2">
        <v>4</v>
      </c>
      <c r="L53" s="2">
        <v>75560</v>
      </c>
      <c r="M53" s="2">
        <v>0.05</v>
      </c>
      <c r="N53" s="2">
        <v>75559.95</v>
      </c>
      <c r="O53" s="2">
        <f t="shared" si="1"/>
        <v>2</v>
      </c>
    </row>
    <row r="54" spans="1:15" x14ac:dyDescent="0.3">
      <c r="A54" s="2" t="s">
        <v>111</v>
      </c>
      <c r="B54" s="3">
        <v>44972</v>
      </c>
      <c r="C54" s="3">
        <v>44977</v>
      </c>
      <c r="D54" s="2" t="s">
        <v>147</v>
      </c>
      <c r="E54" s="2" t="s">
        <v>16</v>
      </c>
      <c r="F54" s="2" t="s">
        <v>36</v>
      </c>
      <c r="G54" s="2" t="s">
        <v>26</v>
      </c>
      <c r="H54" s="2" t="s">
        <v>19</v>
      </c>
      <c r="I54" s="2" t="s">
        <v>28</v>
      </c>
      <c r="J54" s="2">
        <v>0</v>
      </c>
      <c r="K54" s="2">
        <v>10</v>
      </c>
      <c r="L54" s="2">
        <v>0</v>
      </c>
      <c r="M54" s="2">
        <v>0.1</v>
      </c>
      <c r="N54" s="2">
        <v>-0.1</v>
      </c>
      <c r="O54" s="2">
        <f t="shared" si="1"/>
        <v>5</v>
      </c>
    </row>
    <row r="55" spans="1:15" x14ac:dyDescent="0.3">
      <c r="A55" s="2" t="s">
        <v>112</v>
      </c>
      <c r="B55" s="3">
        <v>44941</v>
      </c>
      <c r="C55" s="3">
        <v>44948</v>
      </c>
      <c r="D55" s="2" t="s">
        <v>50</v>
      </c>
      <c r="E55" s="2" t="s">
        <v>24</v>
      </c>
      <c r="F55" s="2" t="s">
        <v>36</v>
      </c>
      <c r="G55" s="2" t="s">
        <v>26</v>
      </c>
      <c r="H55" s="2" t="s">
        <v>19</v>
      </c>
      <c r="I55" s="2" t="s">
        <v>20</v>
      </c>
      <c r="J55" s="2">
        <v>200</v>
      </c>
      <c r="K55" s="2">
        <v>7</v>
      </c>
      <c r="L55" s="2">
        <v>1400</v>
      </c>
      <c r="M55" s="2">
        <v>0</v>
      </c>
      <c r="N55" s="2">
        <v>1400</v>
      </c>
      <c r="O55" s="2">
        <f t="shared" si="1"/>
        <v>7</v>
      </c>
    </row>
    <row r="56" spans="1:15" x14ac:dyDescent="0.3">
      <c r="A56" s="2" t="s">
        <v>114</v>
      </c>
      <c r="B56" s="3">
        <v>44975</v>
      </c>
      <c r="C56" s="3">
        <v>44977</v>
      </c>
      <c r="D56" s="2" t="s">
        <v>35</v>
      </c>
      <c r="E56" s="2" t="s">
        <v>16</v>
      </c>
      <c r="F56" s="2" t="s">
        <v>39</v>
      </c>
      <c r="G56" s="2" t="s">
        <v>18</v>
      </c>
      <c r="H56" s="2" t="s">
        <v>27</v>
      </c>
      <c r="I56" s="2" t="s">
        <v>51</v>
      </c>
      <c r="J56" s="2">
        <v>200</v>
      </c>
      <c r="K56" s="2">
        <v>1</v>
      </c>
      <c r="L56" s="2">
        <v>200</v>
      </c>
      <c r="M56" s="2">
        <v>0.05</v>
      </c>
      <c r="N56" s="2">
        <v>199.95</v>
      </c>
      <c r="O56" s="2">
        <f t="shared" si="1"/>
        <v>2</v>
      </c>
    </row>
    <row r="57" spans="1:15" x14ac:dyDescent="0.3">
      <c r="A57" s="2" t="s">
        <v>115</v>
      </c>
      <c r="B57" s="3">
        <v>44931</v>
      </c>
      <c r="C57" s="3">
        <v>44936</v>
      </c>
      <c r="D57" s="2" t="s">
        <v>54</v>
      </c>
      <c r="E57" s="2" t="s">
        <v>24</v>
      </c>
      <c r="F57" s="2" t="s">
        <v>31</v>
      </c>
      <c r="G57" s="2" t="s">
        <v>62</v>
      </c>
      <c r="H57" s="2" t="s">
        <v>19</v>
      </c>
      <c r="I57" s="2" t="s">
        <v>28</v>
      </c>
      <c r="J57" s="2">
        <v>16464</v>
      </c>
      <c r="K57" s="2">
        <v>3</v>
      </c>
      <c r="L57" s="2">
        <v>49392</v>
      </c>
      <c r="M57" s="2">
        <v>0.05</v>
      </c>
      <c r="N57" s="2">
        <v>49391.95</v>
      </c>
      <c r="O57" s="2">
        <f t="shared" si="1"/>
        <v>5</v>
      </c>
    </row>
    <row r="58" spans="1:15" x14ac:dyDescent="0.3">
      <c r="A58" s="2" t="s">
        <v>117</v>
      </c>
      <c r="B58" s="3">
        <v>44955</v>
      </c>
      <c r="C58" s="3">
        <v>44956</v>
      </c>
      <c r="D58" s="2" t="s">
        <v>48</v>
      </c>
      <c r="E58" s="2" t="s">
        <v>24</v>
      </c>
      <c r="F58" s="2" t="s">
        <v>31</v>
      </c>
      <c r="G58" s="2" t="s">
        <v>148</v>
      </c>
      <c r="H58" s="2" t="s">
        <v>45</v>
      </c>
      <c r="I58" s="2" t="s">
        <v>28</v>
      </c>
      <c r="J58" s="2">
        <v>55497</v>
      </c>
      <c r="K58" s="2">
        <v>1</v>
      </c>
      <c r="L58" s="2">
        <v>55497</v>
      </c>
      <c r="M58" s="2">
        <v>0</v>
      </c>
      <c r="N58" s="2">
        <v>55497</v>
      </c>
      <c r="O58" s="2">
        <f t="shared" si="1"/>
        <v>1</v>
      </c>
    </row>
    <row r="59" spans="1:15" x14ac:dyDescent="0.3">
      <c r="A59" s="2" t="s">
        <v>119</v>
      </c>
      <c r="B59" s="3">
        <v>44935</v>
      </c>
      <c r="C59" s="3">
        <v>44938</v>
      </c>
      <c r="D59" s="2" t="s">
        <v>35</v>
      </c>
      <c r="E59" s="2" t="s">
        <v>42</v>
      </c>
      <c r="F59" s="2" t="s">
        <v>25</v>
      </c>
      <c r="G59" s="2" t="s">
        <v>62</v>
      </c>
      <c r="H59" s="2" t="s">
        <v>45</v>
      </c>
      <c r="I59" s="2" t="s">
        <v>33</v>
      </c>
      <c r="J59" s="2">
        <v>200</v>
      </c>
      <c r="K59" s="2">
        <v>3</v>
      </c>
      <c r="L59" s="2">
        <v>600</v>
      </c>
      <c r="M59" s="2">
        <v>0</v>
      </c>
      <c r="N59" s="2">
        <v>600</v>
      </c>
      <c r="O59" s="2">
        <f t="shared" si="1"/>
        <v>3</v>
      </c>
    </row>
    <row r="60" spans="1:15" x14ac:dyDescent="0.3">
      <c r="A60" s="2" t="s">
        <v>120</v>
      </c>
      <c r="B60" s="3">
        <v>44986</v>
      </c>
      <c r="C60" s="3">
        <v>44991</v>
      </c>
      <c r="D60" s="2" t="s">
        <v>35</v>
      </c>
      <c r="E60" s="2" t="s">
        <v>42</v>
      </c>
      <c r="F60" s="2" t="s">
        <v>25</v>
      </c>
      <c r="G60" s="2" t="s">
        <v>32</v>
      </c>
      <c r="H60" s="2" t="s">
        <v>27</v>
      </c>
      <c r="I60" s="2" t="s">
        <v>51</v>
      </c>
      <c r="J60" s="2">
        <v>0</v>
      </c>
      <c r="K60" s="2">
        <v>8</v>
      </c>
      <c r="L60" s="2">
        <v>0</v>
      </c>
      <c r="M60" s="2">
        <v>0</v>
      </c>
      <c r="N60" s="2">
        <v>0</v>
      </c>
      <c r="O60" s="2">
        <f t="shared" si="1"/>
        <v>5</v>
      </c>
    </row>
    <row r="61" spans="1:15" x14ac:dyDescent="0.3">
      <c r="A61" s="2" t="s">
        <v>121</v>
      </c>
      <c r="B61" s="3">
        <v>44928</v>
      </c>
      <c r="C61" s="3">
        <v>44929</v>
      </c>
      <c r="D61" s="2" t="s">
        <v>147</v>
      </c>
      <c r="E61" s="2" t="s">
        <v>16</v>
      </c>
      <c r="F61" s="2" t="s">
        <v>149</v>
      </c>
      <c r="G61" s="2" t="s">
        <v>62</v>
      </c>
      <c r="H61" s="2" t="s">
        <v>45</v>
      </c>
      <c r="I61" s="2" t="s">
        <v>28</v>
      </c>
      <c r="J61" s="2">
        <v>0</v>
      </c>
      <c r="K61" s="2">
        <v>9</v>
      </c>
      <c r="L61" s="2">
        <v>0</v>
      </c>
      <c r="M61" s="2">
        <v>0</v>
      </c>
      <c r="N61" s="2">
        <v>0</v>
      </c>
      <c r="O61" s="2">
        <f t="shared" si="1"/>
        <v>1</v>
      </c>
    </row>
    <row r="62" spans="1:15" x14ac:dyDescent="0.3">
      <c r="A62" s="2" t="s">
        <v>122</v>
      </c>
      <c r="B62" s="3">
        <v>44977</v>
      </c>
      <c r="C62" s="3">
        <v>44982</v>
      </c>
      <c r="D62" s="2" t="s">
        <v>147</v>
      </c>
      <c r="E62" s="2" t="s">
        <v>24</v>
      </c>
      <c r="F62" s="2" t="s">
        <v>39</v>
      </c>
      <c r="G62" s="2" t="s">
        <v>26</v>
      </c>
      <c r="H62" s="2" t="s">
        <v>45</v>
      </c>
      <c r="I62" s="2" t="s">
        <v>73</v>
      </c>
      <c r="J62" s="2">
        <v>0</v>
      </c>
      <c r="K62" s="2">
        <v>2</v>
      </c>
      <c r="L62" s="2">
        <v>0</v>
      </c>
      <c r="M62" s="2">
        <v>0.1</v>
      </c>
      <c r="N62" s="2">
        <v>-0.1</v>
      </c>
      <c r="O62" s="2">
        <f t="shared" si="1"/>
        <v>5</v>
      </c>
    </row>
    <row r="63" spans="1:15" x14ac:dyDescent="0.3">
      <c r="A63" s="2" t="s">
        <v>123</v>
      </c>
      <c r="B63" s="3">
        <v>44967</v>
      </c>
      <c r="C63" s="3">
        <v>44972</v>
      </c>
      <c r="D63" s="2" t="s">
        <v>23</v>
      </c>
      <c r="E63" s="2" t="s">
        <v>16</v>
      </c>
      <c r="F63" s="2" t="s">
        <v>31</v>
      </c>
      <c r="G63" s="2" t="s">
        <v>18</v>
      </c>
      <c r="H63" s="2" t="s">
        <v>19</v>
      </c>
      <c r="I63" s="2" t="s">
        <v>40</v>
      </c>
      <c r="J63" s="2">
        <v>200</v>
      </c>
      <c r="K63" s="2">
        <v>3</v>
      </c>
      <c r="L63" s="2">
        <v>600</v>
      </c>
      <c r="M63" s="2">
        <v>0</v>
      </c>
      <c r="N63" s="2">
        <v>600</v>
      </c>
      <c r="O63" s="2">
        <f t="shared" si="1"/>
        <v>5</v>
      </c>
    </row>
    <row r="64" spans="1:15" x14ac:dyDescent="0.3">
      <c r="A64" s="2" t="s">
        <v>125</v>
      </c>
      <c r="B64" s="3">
        <v>44956</v>
      </c>
      <c r="C64" s="3">
        <v>44957</v>
      </c>
      <c r="D64" s="2" t="s">
        <v>54</v>
      </c>
      <c r="E64" s="2" t="s">
        <v>24</v>
      </c>
      <c r="F64" s="2" t="s">
        <v>17</v>
      </c>
      <c r="G64" s="2" t="s">
        <v>18</v>
      </c>
      <c r="H64" s="2" t="s">
        <v>19</v>
      </c>
      <c r="I64" s="2" t="s">
        <v>51</v>
      </c>
      <c r="J64" s="2">
        <v>200</v>
      </c>
      <c r="K64" s="2">
        <v>7</v>
      </c>
      <c r="L64" s="2">
        <v>1400</v>
      </c>
      <c r="M64" s="2">
        <v>0.1</v>
      </c>
      <c r="N64" s="2">
        <v>1399.9</v>
      </c>
      <c r="O64" s="2">
        <f t="shared" si="1"/>
        <v>1</v>
      </c>
    </row>
    <row r="65" spans="1:15" x14ac:dyDescent="0.3">
      <c r="A65" s="2" t="s">
        <v>126</v>
      </c>
      <c r="B65" s="3">
        <v>44949</v>
      </c>
      <c r="C65" s="3">
        <v>44952</v>
      </c>
      <c r="D65" s="2" t="s">
        <v>48</v>
      </c>
      <c r="E65" s="2" t="s">
        <v>16</v>
      </c>
      <c r="F65" s="2" t="s">
        <v>39</v>
      </c>
      <c r="G65" s="2" t="s">
        <v>62</v>
      </c>
      <c r="H65" s="2" t="s">
        <v>27</v>
      </c>
      <c r="I65" s="2" t="s">
        <v>20</v>
      </c>
      <c r="J65" s="2">
        <v>0</v>
      </c>
      <c r="K65" s="2">
        <v>6</v>
      </c>
      <c r="L65" s="2">
        <v>0</v>
      </c>
      <c r="M65" s="2">
        <v>0.05</v>
      </c>
      <c r="N65" s="2">
        <v>-0.05</v>
      </c>
      <c r="O65" s="2">
        <f t="shared" si="1"/>
        <v>3</v>
      </c>
    </row>
    <row r="66" spans="1:15" x14ac:dyDescent="0.3">
      <c r="A66" s="2" t="s">
        <v>127</v>
      </c>
      <c r="B66" s="3">
        <v>44928</v>
      </c>
      <c r="C66" s="3">
        <v>44932</v>
      </c>
      <c r="D66" s="2" t="s">
        <v>35</v>
      </c>
      <c r="E66" s="2" t="s">
        <v>24</v>
      </c>
      <c r="F66" s="2" t="s">
        <v>149</v>
      </c>
      <c r="G66" s="2" t="s">
        <v>62</v>
      </c>
      <c r="H66" s="2" t="s">
        <v>45</v>
      </c>
      <c r="I66" s="2" t="s">
        <v>20</v>
      </c>
      <c r="J66" s="2">
        <v>23611</v>
      </c>
      <c r="K66" s="2">
        <v>10</v>
      </c>
      <c r="L66" s="2">
        <v>236110</v>
      </c>
      <c r="M66" s="2">
        <v>0.2</v>
      </c>
      <c r="N66" s="2">
        <v>236109.8</v>
      </c>
      <c r="O66" s="2">
        <f t="shared" ref="O66:O80" si="2">C66-B66</f>
        <v>4</v>
      </c>
    </row>
    <row r="67" spans="1:15" x14ac:dyDescent="0.3">
      <c r="A67" s="2" t="s">
        <v>128</v>
      </c>
      <c r="B67" s="3">
        <v>44964</v>
      </c>
      <c r="C67" s="3">
        <v>44970</v>
      </c>
      <c r="D67" s="2" t="s">
        <v>23</v>
      </c>
      <c r="E67" s="2" t="s">
        <v>24</v>
      </c>
      <c r="F67" s="2" t="s">
        <v>36</v>
      </c>
      <c r="G67" s="2" t="s">
        <v>32</v>
      </c>
      <c r="H67" s="2" t="s">
        <v>27</v>
      </c>
      <c r="I67" s="2" t="s">
        <v>51</v>
      </c>
      <c r="J67" s="2">
        <v>200</v>
      </c>
      <c r="K67" s="2">
        <v>4</v>
      </c>
      <c r="L67" s="2">
        <v>800</v>
      </c>
      <c r="M67" s="2">
        <v>0</v>
      </c>
      <c r="N67" s="2">
        <v>800</v>
      </c>
      <c r="O67" s="2">
        <f t="shared" si="2"/>
        <v>6</v>
      </c>
    </row>
    <row r="68" spans="1:15" x14ac:dyDescent="0.3">
      <c r="A68" s="2" t="s">
        <v>129</v>
      </c>
      <c r="B68" s="3">
        <v>44985</v>
      </c>
      <c r="C68" s="3">
        <v>44989</v>
      </c>
      <c r="D68" s="2" t="s">
        <v>23</v>
      </c>
      <c r="E68" s="2" t="s">
        <v>16</v>
      </c>
      <c r="F68" s="2" t="s">
        <v>39</v>
      </c>
      <c r="G68" s="2" t="s">
        <v>62</v>
      </c>
      <c r="H68" s="2" t="s">
        <v>27</v>
      </c>
      <c r="I68" s="2" t="s">
        <v>51</v>
      </c>
      <c r="J68" s="2">
        <v>200</v>
      </c>
      <c r="K68" s="2">
        <v>5</v>
      </c>
      <c r="L68" s="2">
        <v>1000</v>
      </c>
      <c r="M68" s="2">
        <v>0.1</v>
      </c>
      <c r="N68" s="2">
        <v>999.9</v>
      </c>
      <c r="O68" s="2">
        <f t="shared" si="2"/>
        <v>4</v>
      </c>
    </row>
    <row r="69" spans="1:15" x14ac:dyDescent="0.3">
      <c r="A69" s="2" t="s">
        <v>131</v>
      </c>
      <c r="B69" s="3">
        <v>44944</v>
      </c>
      <c r="C69" s="3">
        <v>44950</v>
      </c>
      <c r="D69" s="2" t="s">
        <v>30</v>
      </c>
      <c r="E69" s="2" t="s">
        <v>16</v>
      </c>
      <c r="F69" s="2" t="s">
        <v>39</v>
      </c>
      <c r="G69" s="2" t="s">
        <v>18</v>
      </c>
      <c r="H69" s="2" t="s">
        <v>27</v>
      </c>
      <c r="I69" s="2" t="s">
        <v>33</v>
      </c>
      <c r="J69" s="2">
        <v>0</v>
      </c>
      <c r="K69" s="2">
        <v>7</v>
      </c>
      <c r="L69" s="2">
        <v>0</v>
      </c>
      <c r="M69" s="2">
        <v>0</v>
      </c>
      <c r="N69" s="2">
        <v>0</v>
      </c>
      <c r="O69" s="2">
        <f t="shared" si="2"/>
        <v>6</v>
      </c>
    </row>
    <row r="70" spans="1:15" x14ac:dyDescent="0.3">
      <c r="A70" s="2" t="s">
        <v>133</v>
      </c>
      <c r="B70" s="3">
        <v>44949</v>
      </c>
      <c r="C70" s="3">
        <v>44956</v>
      </c>
      <c r="D70" s="2" t="s">
        <v>147</v>
      </c>
      <c r="E70" s="2" t="s">
        <v>42</v>
      </c>
      <c r="F70" s="2" t="s">
        <v>149</v>
      </c>
      <c r="G70" s="2" t="s">
        <v>18</v>
      </c>
      <c r="H70" s="2" t="s">
        <v>27</v>
      </c>
      <c r="I70" s="2" t="s">
        <v>20</v>
      </c>
      <c r="J70" s="2">
        <v>0</v>
      </c>
      <c r="K70" s="2">
        <v>6</v>
      </c>
      <c r="L70" s="2">
        <v>0</v>
      </c>
      <c r="M70" s="2">
        <v>0.05</v>
      </c>
      <c r="N70" s="2">
        <v>-0.05</v>
      </c>
      <c r="O70" s="2">
        <f t="shared" si="2"/>
        <v>7</v>
      </c>
    </row>
    <row r="71" spans="1:15" x14ac:dyDescent="0.3">
      <c r="A71" s="2" t="s">
        <v>134</v>
      </c>
      <c r="B71" s="3">
        <v>44937</v>
      </c>
      <c r="C71" s="3">
        <v>44940</v>
      </c>
      <c r="D71" s="2" t="s">
        <v>54</v>
      </c>
      <c r="E71" s="2" t="s">
        <v>16</v>
      </c>
      <c r="F71" s="2" t="s">
        <v>17</v>
      </c>
      <c r="G71" s="2" t="s">
        <v>32</v>
      </c>
      <c r="H71" s="2" t="s">
        <v>45</v>
      </c>
      <c r="I71" s="2" t="s">
        <v>20</v>
      </c>
      <c r="J71" s="2">
        <v>200</v>
      </c>
      <c r="K71" s="2">
        <v>7</v>
      </c>
      <c r="L71" s="2">
        <v>1400</v>
      </c>
      <c r="M71" s="2">
        <v>0.05</v>
      </c>
      <c r="N71" s="2">
        <v>1399.95</v>
      </c>
      <c r="O71" s="2">
        <f t="shared" si="2"/>
        <v>3</v>
      </c>
    </row>
    <row r="72" spans="1:15" x14ac:dyDescent="0.3">
      <c r="A72" s="2" t="s">
        <v>136</v>
      </c>
      <c r="B72" s="3">
        <v>44973</v>
      </c>
      <c r="C72" s="3">
        <v>44975</v>
      </c>
      <c r="D72" s="2" t="s">
        <v>23</v>
      </c>
      <c r="E72" s="2" t="s">
        <v>42</v>
      </c>
      <c r="F72" s="2" t="s">
        <v>39</v>
      </c>
      <c r="G72" s="2" t="s">
        <v>18</v>
      </c>
      <c r="H72" s="2" t="s">
        <v>19</v>
      </c>
      <c r="I72" s="2" t="s">
        <v>51</v>
      </c>
      <c r="J72" s="2">
        <v>0</v>
      </c>
      <c r="K72" s="2">
        <v>9</v>
      </c>
      <c r="L72" s="2">
        <v>0</v>
      </c>
      <c r="M72" s="2">
        <v>0.05</v>
      </c>
      <c r="N72" s="2">
        <v>-0.05</v>
      </c>
      <c r="O72" s="2">
        <f t="shared" si="2"/>
        <v>2</v>
      </c>
    </row>
    <row r="73" spans="1:15" x14ac:dyDescent="0.3">
      <c r="A73" s="2" t="s">
        <v>137</v>
      </c>
      <c r="B73" s="3">
        <v>44969</v>
      </c>
      <c r="C73" s="3">
        <v>44974</v>
      </c>
      <c r="D73" s="2" t="s">
        <v>48</v>
      </c>
      <c r="E73" s="2" t="s">
        <v>42</v>
      </c>
      <c r="F73" s="2" t="s">
        <v>149</v>
      </c>
      <c r="G73" s="2" t="s">
        <v>62</v>
      </c>
      <c r="H73" s="2" t="s">
        <v>27</v>
      </c>
      <c r="I73" s="2" t="s">
        <v>40</v>
      </c>
      <c r="J73" s="2">
        <v>17776</v>
      </c>
      <c r="K73" s="2">
        <v>9</v>
      </c>
      <c r="L73" s="2">
        <v>159984</v>
      </c>
      <c r="M73" s="2">
        <v>0</v>
      </c>
      <c r="N73" s="2">
        <v>159984</v>
      </c>
      <c r="O73" s="2">
        <f t="shared" si="2"/>
        <v>5</v>
      </c>
    </row>
    <row r="74" spans="1:15" x14ac:dyDescent="0.3">
      <c r="A74" s="2" t="s">
        <v>138</v>
      </c>
      <c r="B74" s="3">
        <v>44960</v>
      </c>
      <c r="C74" s="3">
        <v>44964</v>
      </c>
      <c r="D74" s="2" t="s">
        <v>30</v>
      </c>
      <c r="E74" s="2" t="s">
        <v>42</v>
      </c>
      <c r="F74" s="2" t="s">
        <v>17</v>
      </c>
      <c r="G74" s="2" t="s">
        <v>62</v>
      </c>
      <c r="H74" s="2" t="s">
        <v>27</v>
      </c>
      <c r="I74" s="2" t="s">
        <v>28</v>
      </c>
      <c r="J74" s="2">
        <v>10619</v>
      </c>
      <c r="K74" s="2">
        <v>4</v>
      </c>
      <c r="L74" s="2">
        <v>42476</v>
      </c>
      <c r="M74" s="2">
        <v>0</v>
      </c>
      <c r="N74" s="2">
        <v>42476</v>
      </c>
      <c r="O74" s="2">
        <f t="shared" si="2"/>
        <v>4</v>
      </c>
    </row>
    <row r="75" spans="1:15" x14ac:dyDescent="0.3">
      <c r="A75" s="2" t="s">
        <v>139</v>
      </c>
      <c r="B75" s="3">
        <v>44985</v>
      </c>
      <c r="C75" s="3">
        <v>44990</v>
      </c>
      <c r="D75" s="2" t="s">
        <v>35</v>
      </c>
      <c r="E75" s="2" t="s">
        <v>42</v>
      </c>
      <c r="F75" s="2" t="s">
        <v>25</v>
      </c>
      <c r="G75" s="2" t="s">
        <v>62</v>
      </c>
      <c r="H75" s="2" t="s">
        <v>45</v>
      </c>
      <c r="I75" s="2" t="s">
        <v>33</v>
      </c>
      <c r="J75" s="2">
        <v>53775</v>
      </c>
      <c r="K75" s="2">
        <v>9</v>
      </c>
      <c r="L75" s="2">
        <v>483975</v>
      </c>
      <c r="M75" s="2">
        <v>0.1</v>
      </c>
      <c r="N75" s="2">
        <v>483974.9</v>
      </c>
      <c r="O75" s="2">
        <f t="shared" si="2"/>
        <v>5</v>
      </c>
    </row>
    <row r="76" spans="1:15" x14ac:dyDescent="0.3">
      <c r="A76" s="2" t="s">
        <v>141</v>
      </c>
      <c r="B76" s="3">
        <v>44944</v>
      </c>
      <c r="C76" s="3">
        <v>44948</v>
      </c>
      <c r="D76" s="2" t="s">
        <v>23</v>
      </c>
      <c r="E76" s="2" t="s">
        <v>16</v>
      </c>
      <c r="F76" s="2" t="s">
        <v>31</v>
      </c>
      <c r="G76" s="2" t="s">
        <v>26</v>
      </c>
      <c r="H76" s="2" t="s">
        <v>27</v>
      </c>
      <c r="I76" s="2" t="s">
        <v>33</v>
      </c>
      <c r="J76" s="2">
        <v>14971</v>
      </c>
      <c r="K76" s="2">
        <v>7</v>
      </c>
      <c r="L76" s="2">
        <v>104797</v>
      </c>
      <c r="M76" s="2">
        <v>0.2</v>
      </c>
      <c r="N76" s="2">
        <v>104796.8</v>
      </c>
      <c r="O76" s="2">
        <f t="shared" si="2"/>
        <v>4</v>
      </c>
    </row>
    <row r="77" spans="1:15" x14ac:dyDescent="0.3">
      <c r="A77" s="2" t="s">
        <v>142</v>
      </c>
      <c r="B77" s="3">
        <v>44931</v>
      </c>
      <c r="C77" s="3">
        <v>44933</v>
      </c>
      <c r="D77" s="2" t="s">
        <v>15</v>
      </c>
      <c r="E77" s="2" t="s">
        <v>42</v>
      </c>
      <c r="F77" s="2" t="s">
        <v>39</v>
      </c>
      <c r="G77" s="2" t="s">
        <v>62</v>
      </c>
      <c r="H77" s="2" t="s">
        <v>27</v>
      </c>
      <c r="I77" s="2" t="s">
        <v>51</v>
      </c>
      <c r="J77" s="2">
        <v>0</v>
      </c>
      <c r="K77" s="2">
        <v>5</v>
      </c>
      <c r="L77" s="2">
        <v>0</v>
      </c>
      <c r="M77" s="2">
        <v>0</v>
      </c>
      <c r="N77" s="2">
        <v>0</v>
      </c>
      <c r="O77" s="2">
        <f t="shared" si="2"/>
        <v>2</v>
      </c>
    </row>
    <row r="78" spans="1:15" x14ac:dyDescent="0.3">
      <c r="A78" s="2" t="s">
        <v>143</v>
      </c>
      <c r="B78" s="3">
        <v>44983</v>
      </c>
      <c r="C78" s="3">
        <v>44987</v>
      </c>
      <c r="D78" s="2" t="s">
        <v>23</v>
      </c>
      <c r="E78" s="2" t="s">
        <v>42</v>
      </c>
      <c r="F78" s="2" t="s">
        <v>39</v>
      </c>
      <c r="G78" s="2" t="s">
        <v>148</v>
      </c>
      <c r="H78" s="2" t="s">
        <v>19</v>
      </c>
      <c r="I78" s="2" t="s">
        <v>73</v>
      </c>
      <c r="J78" s="2">
        <v>34210</v>
      </c>
      <c r="K78" s="2">
        <v>5</v>
      </c>
      <c r="L78" s="2">
        <v>171050</v>
      </c>
      <c r="M78" s="2">
        <v>0.1</v>
      </c>
      <c r="N78" s="2">
        <v>171049.9</v>
      </c>
      <c r="O78" s="2">
        <f t="shared" si="2"/>
        <v>4</v>
      </c>
    </row>
    <row r="79" spans="1:15" x14ac:dyDescent="0.3">
      <c r="A79" s="2" t="s">
        <v>144</v>
      </c>
      <c r="B79" s="3">
        <v>44964</v>
      </c>
      <c r="C79" s="3">
        <v>44965</v>
      </c>
      <c r="D79" s="2" t="s">
        <v>147</v>
      </c>
      <c r="E79" s="2" t="s">
        <v>16</v>
      </c>
      <c r="F79" s="2" t="s">
        <v>25</v>
      </c>
      <c r="G79" s="2" t="s">
        <v>148</v>
      </c>
      <c r="H79" s="2" t="s">
        <v>19</v>
      </c>
      <c r="I79" s="2" t="s">
        <v>51</v>
      </c>
      <c r="J79" s="2">
        <v>0</v>
      </c>
      <c r="K79" s="2">
        <v>7</v>
      </c>
      <c r="L79" s="2">
        <v>0</v>
      </c>
      <c r="M79" s="2">
        <v>0</v>
      </c>
      <c r="N79" s="2">
        <v>0</v>
      </c>
      <c r="O79" s="2">
        <f t="shared" si="2"/>
        <v>1</v>
      </c>
    </row>
    <row r="80" spans="1:15" x14ac:dyDescent="0.3">
      <c r="A80" s="2" t="s">
        <v>145</v>
      </c>
      <c r="B80" s="3">
        <v>44978</v>
      </c>
      <c r="C80" s="3">
        <v>44984</v>
      </c>
      <c r="D80" s="2" t="s">
        <v>23</v>
      </c>
      <c r="E80" s="2" t="s">
        <v>16</v>
      </c>
      <c r="F80" s="2" t="s">
        <v>36</v>
      </c>
      <c r="G80" s="2" t="s">
        <v>148</v>
      </c>
      <c r="H80" s="2" t="s">
        <v>45</v>
      </c>
      <c r="I80" s="2" t="s">
        <v>40</v>
      </c>
      <c r="J80" s="2">
        <v>200</v>
      </c>
      <c r="K80" s="2">
        <v>1</v>
      </c>
      <c r="L80" s="2">
        <v>200</v>
      </c>
      <c r="M80" s="2">
        <v>0.2</v>
      </c>
      <c r="N80" s="2">
        <v>199.8</v>
      </c>
      <c r="O80" s="2">
        <f t="shared" si="2"/>
        <v>6</v>
      </c>
    </row>
    <row r="81" spans="1:15" x14ac:dyDescent="0.3">
      <c r="A81" s="2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AB95-B8E3-4982-A10E-F96751957EEB}">
  <dimension ref="A1:C47"/>
  <sheetViews>
    <sheetView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" customWidth="1"/>
    <col min="4" max="4" width="12.5546875" bestFit="1" customWidth="1"/>
    <col min="5" max="5" width="20.21875" bestFit="1" customWidth="1"/>
  </cols>
  <sheetData>
    <row r="1" spans="1:3" x14ac:dyDescent="0.3">
      <c r="A1" t="s">
        <v>150</v>
      </c>
    </row>
    <row r="3" spans="1:3" x14ac:dyDescent="0.3">
      <c r="A3" s="7" t="s">
        <v>151</v>
      </c>
      <c r="B3" s="7"/>
      <c r="C3" s="7" t="s">
        <v>152</v>
      </c>
    </row>
    <row r="4" spans="1:3" x14ac:dyDescent="0.3">
      <c r="A4" s="8">
        <f>SUM(Cleaned_data!L2:L80)</f>
        <v>4153970</v>
      </c>
      <c r="B4" s="8"/>
      <c r="C4" s="8">
        <f>SUM(Cleaned_data!N2:N80)</f>
        <v>4153964.7</v>
      </c>
    </row>
    <row r="6" spans="1:3" x14ac:dyDescent="0.3">
      <c r="A6" t="s">
        <v>153</v>
      </c>
    </row>
    <row r="8" spans="1:3" x14ac:dyDescent="0.3">
      <c r="A8" s="6" t="s">
        <v>154</v>
      </c>
      <c r="B8" s="6" t="s">
        <v>156</v>
      </c>
    </row>
    <row r="9" spans="1:3" x14ac:dyDescent="0.3">
      <c r="A9" s="5" t="s">
        <v>27</v>
      </c>
      <c r="B9" s="5">
        <v>1592165</v>
      </c>
    </row>
    <row r="10" spans="1:3" x14ac:dyDescent="0.3">
      <c r="A10" s="5" t="s">
        <v>19</v>
      </c>
      <c r="B10" s="5">
        <v>1067610</v>
      </c>
    </row>
    <row r="11" spans="1:3" x14ac:dyDescent="0.3">
      <c r="A11" s="5" t="s">
        <v>45</v>
      </c>
      <c r="B11" s="5">
        <v>1494195</v>
      </c>
    </row>
    <row r="12" spans="1:3" x14ac:dyDescent="0.3">
      <c r="A12" s="6" t="s">
        <v>155</v>
      </c>
      <c r="B12" s="6">
        <v>4153970</v>
      </c>
    </row>
    <row r="14" spans="1:3" x14ac:dyDescent="0.3">
      <c r="A14" t="s">
        <v>157</v>
      </c>
    </row>
    <row r="16" spans="1:3" x14ac:dyDescent="0.3">
      <c r="A16" s="16" t="s">
        <v>154</v>
      </c>
      <c r="B16" s="16" t="s">
        <v>158</v>
      </c>
    </row>
    <row r="17" spans="1:2" x14ac:dyDescent="0.3">
      <c r="A17" s="12" t="s">
        <v>73</v>
      </c>
      <c r="B17" s="15">
        <v>8.5228817664242534E-2</v>
      </c>
    </row>
    <row r="18" spans="1:2" x14ac:dyDescent="0.3">
      <c r="A18" s="12" t="s">
        <v>20</v>
      </c>
      <c r="B18" s="15">
        <v>0.11650409547293455</v>
      </c>
    </row>
    <row r="19" spans="1:2" x14ac:dyDescent="0.3">
      <c r="A19" s="12" t="s">
        <v>51</v>
      </c>
      <c r="B19" s="15">
        <v>0.11664006196297239</v>
      </c>
    </row>
    <row r="20" spans="1:2" x14ac:dyDescent="0.3">
      <c r="A20" s="12" t="s">
        <v>33</v>
      </c>
      <c r="B20" s="15">
        <v>0.18466077720881932</v>
      </c>
    </row>
    <row r="21" spans="1:2" x14ac:dyDescent="0.3">
      <c r="A21" s="12" t="s">
        <v>40</v>
      </c>
      <c r="B21" s="15">
        <v>0.22744570987808344</v>
      </c>
    </row>
    <row r="22" spans="1:2" x14ac:dyDescent="0.3">
      <c r="A22" s="12" t="s">
        <v>28</v>
      </c>
      <c r="B22" s="15">
        <v>0.26952053781294766</v>
      </c>
    </row>
    <row r="23" spans="1:2" x14ac:dyDescent="0.3">
      <c r="A23" s="17" t="s">
        <v>155</v>
      </c>
      <c r="B23" s="18">
        <v>1</v>
      </c>
    </row>
    <row r="25" spans="1:2" x14ac:dyDescent="0.3">
      <c r="A25" t="s">
        <v>159</v>
      </c>
    </row>
    <row r="27" spans="1:2" x14ac:dyDescent="0.3">
      <c r="A27" s="4" t="s">
        <v>66</v>
      </c>
      <c r="B27" s="16">
        <f>AVERAGEIF(Cleaned_data!A2:A80,'SALES &amp; REVENUE INSIGHTS'!A27,Cleaned_data!J2:J80)</f>
        <v>43210</v>
      </c>
    </row>
    <row r="29" spans="1:2" x14ac:dyDescent="0.3">
      <c r="A29" t="s">
        <v>161</v>
      </c>
    </row>
    <row r="31" spans="1:2" x14ac:dyDescent="0.3">
      <c r="A31" s="12" t="s">
        <v>17</v>
      </c>
      <c r="B31" s="5">
        <f>SUMIF(Cleaned_data!F2:F80,'SALES &amp; REVENUE INSIGHTS'!A31,Cleaned_data!L2:L80)</f>
        <v>171412</v>
      </c>
    </row>
    <row r="32" spans="1:2" x14ac:dyDescent="0.3">
      <c r="A32" s="12" t="s">
        <v>25</v>
      </c>
      <c r="B32" s="5">
        <f>SUMIF(Cleaned_data!F3:F81,'SALES &amp; REVENUE INSIGHTS'!A32,Cleaned_data!L3:L81)</f>
        <v>542415</v>
      </c>
    </row>
    <row r="33" spans="1:3" x14ac:dyDescent="0.3">
      <c r="A33" s="12" t="s">
        <v>31</v>
      </c>
      <c r="B33" s="5">
        <f>SUMIF(Cleaned_data!F4:F82,'SALES &amp; REVENUE INSIGHTS'!A33,Cleaned_data!L4:L82)</f>
        <v>388777</v>
      </c>
    </row>
    <row r="34" spans="1:3" x14ac:dyDescent="0.3">
      <c r="A34" s="12" t="s">
        <v>36</v>
      </c>
      <c r="B34" s="5">
        <f>SUMIF(Cleaned_data!F5:F83,'SALES &amp; REVENUE INSIGHTS'!A34,Cleaned_data!L5:L83)</f>
        <v>622232</v>
      </c>
    </row>
    <row r="35" spans="1:3" x14ac:dyDescent="0.3">
      <c r="A35" s="12" t="s">
        <v>39</v>
      </c>
      <c r="B35" s="5">
        <f>SUMIF(Cleaned_data!F6:F84,'SALES &amp; REVENUE INSIGHTS'!A35,Cleaned_data!L6:L84)</f>
        <v>1778834</v>
      </c>
    </row>
    <row r="36" spans="1:3" x14ac:dyDescent="0.3">
      <c r="A36" s="12" t="s">
        <v>149</v>
      </c>
      <c r="B36" s="5">
        <f>SUMIF(Cleaned_data!F7:F85,'SALES &amp; REVENUE INSIGHTS'!A36,Cleaned_data!L7:L85)</f>
        <v>578834</v>
      </c>
    </row>
    <row r="37" spans="1:3" x14ac:dyDescent="0.3">
      <c r="A37" s="12" t="s">
        <v>57</v>
      </c>
      <c r="B37" s="5">
        <f>SUMIF(Cleaned_data!F8:F86,'SALES &amp; REVENUE INSIGHTS'!A37,Cleaned_data!L8:L86)</f>
        <v>71466</v>
      </c>
    </row>
    <row r="39" spans="1:3" x14ac:dyDescent="0.3">
      <c r="A39" t="s">
        <v>162</v>
      </c>
    </row>
    <row r="41" spans="1:3" x14ac:dyDescent="0.3">
      <c r="A41" t="s">
        <v>154</v>
      </c>
      <c r="B41" t="s">
        <v>160</v>
      </c>
      <c r="C41" t="s">
        <v>158</v>
      </c>
    </row>
    <row r="42" spans="1:3" x14ac:dyDescent="0.3">
      <c r="A42" s="5" t="s">
        <v>26</v>
      </c>
      <c r="B42" s="5">
        <v>122109</v>
      </c>
      <c r="C42" s="5">
        <v>424158.3</v>
      </c>
    </row>
    <row r="43" spans="1:3" x14ac:dyDescent="0.3">
      <c r="A43" s="5" t="s">
        <v>18</v>
      </c>
      <c r="B43" s="5">
        <v>129576</v>
      </c>
      <c r="C43" s="5">
        <v>511601.20000000007</v>
      </c>
    </row>
    <row r="44" spans="1:3" x14ac:dyDescent="0.3">
      <c r="A44" s="5" t="s">
        <v>32</v>
      </c>
      <c r="B44" s="5">
        <v>181546</v>
      </c>
      <c r="C44" s="5">
        <v>909410.04999999993</v>
      </c>
    </row>
    <row r="45" spans="1:3" x14ac:dyDescent="0.3">
      <c r="A45" s="5" t="s">
        <v>148</v>
      </c>
      <c r="B45" s="5">
        <v>241655</v>
      </c>
      <c r="C45" s="5">
        <v>1120291.2</v>
      </c>
    </row>
    <row r="46" spans="1:3" x14ac:dyDescent="0.3">
      <c r="A46" s="5" t="s">
        <v>62</v>
      </c>
      <c r="B46" s="5">
        <v>158986</v>
      </c>
      <c r="C46" s="5">
        <v>1188503.9500000002</v>
      </c>
    </row>
    <row r="47" spans="1:3" x14ac:dyDescent="0.3">
      <c r="A47" s="5" t="s">
        <v>155</v>
      </c>
      <c r="B47" s="5">
        <v>833872</v>
      </c>
      <c r="C47" s="5">
        <v>4153964.7</v>
      </c>
    </row>
  </sheetData>
  <conditionalFormatting pivot="1" sqref="B17:B2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{03A13C39-36AE-4196-967F-DC25A6000EC2}</x14:id>
        </ext>
      </extLst>
    </cfRule>
  </conditionalFormatting>
  <conditionalFormatting sqref="B31:B3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{6FF7823E-6390-4D19-B00D-97A73AA9273B}</x14:id>
        </ext>
      </extLst>
    </cfRule>
  </conditionalFormatting>
  <conditionalFormatting sqref="B42:C4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{0C89B01E-884D-4862-8F8A-B033A1854045}</x14:id>
        </ext>
      </extLst>
    </cfRule>
  </conditionalFormatting>
  <pageMargins left="0.7" right="0.7" top="0.75" bottom="0.75" header="0.3" footer="0.3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3A13C39-36AE-4196-967F-DC25A6000E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B17:B22</xm:sqref>
        </x14:conditionalFormatting>
        <x14:conditionalFormatting xmlns:xm="http://schemas.microsoft.com/office/excel/2006/main">
          <x14:cfRule type="dataBar" id="{6FF7823E-6390-4D19-B00D-97A73AA927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B31:B37</xm:sqref>
        </x14:conditionalFormatting>
        <x14:conditionalFormatting xmlns:xm="http://schemas.microsoft.com/office/excel/2006/main">
          <x14:cfRule type="dataBar" id="{0C89B01E-884D-4862-8F8A-B033A18540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B42:C46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0F7EEE-B025-477D-B412-C67D4AB3781F}">
          <x14:formula1>
            <xm:f>Cleaned_data!A2:A80</xm:f>
          </x14:formula1>
          <xm:sqref>A27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7AF7-19D9-4B29-BCE6-2992F64665E5}">
  <dimension ref="A1:B107"/>
  <sheetViews>
    <sheetView workbookViewId="0">
      <selection activeCell="A109" sqref="A109"/>
    </sheetView>
  </sheetViews>
  <sheetFormatPr defaultRowHeight="14.4" x14ac:dyDescent="0.3"/>
  <cols>
    <col min="1" max="1" width="13.109375" bestFit="1" customWidth="1"/>
    <col min="2" max="2" width="12.88671875" bestFit="1" customWidth="1"/>
  </cols>
  <sheetData>
    <row r="1" spans="1:2" x14ac:dyDescent="0.3">
      <c r="A1" t="s">
        <v>164</v>
      </c>
    </row>
    <row r="3" spans="1:2" x14ac:dyDescent="0.3">
      <c r="A3" s="9" t="s">
        <v>154</v>
      </c>
      <c r="B3" t="s">
        <v>165</v>
      </c>
    </row>
    <row r="4" spans="1:2" x14ac:dyDescent="0.3">
      <c r="A4" s="10" t="s">
        <v>27</v>
      </c>
      <c r="B4" s="14">
        <v>0.38328769380250144</v>
      </c>
    </row>
    <row r="5" spans="1:2" x14ac:dyDescent="0.3">
      <c r="A5" s="10" t="s">
        <v>45</v>
      </c>
      <c r="B5" s="14">
        <v>0.35970277985270316</v>
      </c>
    </row>
    <row r="6" spans="1:2" x14ac:dyDescent="0.3">
      <c r="A6" s="10" t="s">
        <v>19</v>
      </c>
      <c r="B6" s="14">
        <v>0.25700952634479535</v>
      </c>
    </row>
    <row r="7" spans="1:2" x14ac:dyDescent="0.3">
      <c r="A7" s="10" t="s">
        <v>155</v>
      </c>
      <c r="B7" s="14">
        <v>1</v>
      </c>
    </row>
    <row r="9" spans="1:2" x14ac:dyDescent="0.3">
      <c r="A9" t="s">
        <v>166</v>
      </c>
    </row>
    <row r="11" spans="1:2" x14ac:dyDescent="0.3">
      <c r="A11" s="20" t="s">
        <v>154</v>
      </c>
      <c r="B11" s="21" t="s">
        <v>163</v>
      </c>
    </row>
    <row r="12" spans="1:2" hidden="1" x14ac:dyDescent="0.3">
      <c r="A12" s="22" t="s">
        <v>14</v>
      </c>
      <c r="B12" s="23">
        <v>1000</v>
      </c>
    </row>
    <row r="13" spans="1:2" hidden="1" x14ac:dyDescent="0.3">
      <c r="A13" s="22" t="s">
        <v>22</v>
      </c>
      <c r="B13" s="23">
        <v>41615.9</v>
      </c>
    </row>
    <row r="14" spans="1:2" hidden="1" x14ac:dyDescent="0.3">
      <c r="A14" s="22" t="s">
        <v>29</v>
      </c>
      <c r="B14" s="23">
        <v>600</v>
      </c>
    </row>
    <row r="15" spans="1:2" hidden="1" x14ac:dyDescent="0.3">
      <c r="A15" s="22" t="s">
        <v>34</v>
      </c>
      <c r="B15" s="23">
        <v>221840</v>
      </c>
    </row>
    <row r="16" spans="1:2" hidden="1" x14ac:dyDescent="0.3">
      <c r="A16" s="22" t="s">
        <v>38</v>
      </c>
      <c r="B16" s="23">
        <v>306789.8</v>
      </c>
    </row>
    <row r="17" spans="1:2" hidden="1" x14ac:dyDescent="0.3">
      <c r="A17" s="22" t="s">
        <v>41</v>
      </c>
      <c r="B17" s="23">
        <v>0</v>
      </c>
    </row>
    <row r="18" spans="1:2" hidden="1" x14ac:dyDescent="0.3">
      <c r="A18" s="22" t="s">
        <v>44</v>
      </c>
      <c r="B18" s="23">
        <v>18804.8</v>
      </c>
    </row>
    <row r="19" spans="1:2" hidden="1" x14ac:dyDescent="0.3">
      <c r="A19" s="22" t="s">
        <v>46</v>
      </c>
      <c r="B19" s="23">
        <v>103779.95</v>
      </c>
    </row>
    <row r="20" spans="1:2" hidden="1" x14ac:dyDescent="0.3">
      <c r="A20" s="22" t="s">
        <v>47</v>
      </c>
      <c r="B20" s="23">
        <v>291409.95</v>
      </c>
    </row>
    <row r="21" spans="1:2" hidden="1" x14ac:dyDescent="0.3">
      <c r="A21" s="22" t="s">
        <v>49</v>
      </c>
      <c r="B21" s="23">
        <v>90261</v>
      </c>
    </row>
    <row r="22" spans="1:2" hidden="1" x14ac:dyDescent="0.3">
      <c r="A22" s="22" t="s">
        <v>52</v>
      </c>
      <c r="B22" s="23">
        <v>999.8</v>
      </c>
    </row>
    <row r="23" spans="1:2" hidden="1" x14ac:dyDescent="0.3">
      <c r="A23" s="22" t="s">
        <v>53</v>
      </c>
      <c r="B23" s="23">
        <v>398952</v>
      </c>
    </row>
    <row r="24" spans="1:2" x14ac:dyDescent="0.3">
      <c r="A24" s="22" t="s">
        <v>56</v>
      </c>
      <c r="B24" s="23">
        <v>-0.1</v>
      </c>
    </row>
    <row r="25" spans="1:2" hidden="1" x14ac:dyDescent="0.3">
      <c r="A25" s="22" t="s">
        <v>59</v>
      </c>
      <c r="B25" s="23">
        <v>15023.8</v>
      </c>
    </row>
    <row r="26" spans="1:2" x14ac:dyDescent="0.3">
      <c r="A26" s="22" t="s">
        <v>60</v>
      </c>
      <c r="B26" s="23">
        <v>-0.1</v>
      </c>
    </row>
    <row r="27" spans="1:2" hidden="1" x14ac:dyDescent="0.3">
      <c r="A27" s="22" t="s">
        <v>61</v>
      </c>
      <c r="B27" s="23">
        <v>1400</v>
      </c>
    </row>
    <row r="28" spans="1:2" hidden="1" x14ac:dyDescent="0.3">
      <c r="A28" s="22" t="s">
        <v>63</v>
      </c>
      <c r="B28" s="23">
        <v>138007.79999999999</v>
      </c>
    </row>
    <row r="29" spans="1:2" hidden="1" x14ac:dyDescent="0.3">
      <c r="A29" s="22" t="s">
        <v>64</v>
      </c>
      <c r="B29" s="23">
        <v>0</v>
      </c>
    </row>
    <row r="30" spans="1:2" hidden="1" x14ac:dyDescent="0.3">
      <c r="A30" s="22" t="s">
        <v>65</v>
      </c>
      <c r="B30" s="23">
        <v>1199.8</v>
      </c>
    </row>
    <row r="31" spans="1:2" hidden="1" x14ac:dyDescent="0.3">
      <c r="A31" s="22" t="s">
        <v>66</v>
      </c>
      <c r="B31" s="23">
        <v>86419.8</v>
      </c>
    </row>
    <row r="32" spans="1:2" hidden="1" x14ac:dyDescent="0.3">
      <c r="A32" s="22" t="s">
        <v>67</v>
      </c>
      <c r="B32" s="23">
        <v>287069.8</v>
      </c>
    </row>
    <row r="33" spans="1:2" x14ac:dyDescent="0.3">
      <c r="A33" s="22" t="s">
        <v>68</v>
      </c>
      <c r="B33" s="23">
        <v>-0.1</v>
      </c>
    </row>
    <row r="34" spans="1:2" hidden="1" x14ac:dyDescent="0.3">
      <c r="A34" s="22" t="s">
        <v>70</v>
      </c>
      <c r="B34" s="23">
        <v>399.8</v>
      </c>
    </row>
    <row r="35" spans="1:2" hidden="1" x14ac:dyDescent="0.3">
      <c r="A35" s="22" t="s">
        <v>71</v>
      </c>
      <c r="B35" s="23">
        <v>1600</v>
      </c>
    </row>
    <row r="36" spans="1:2" hidden="1" x14ac:dyDescent="0.3">
      <c r="A36" s="22" t="s">
        <v>72</v>
      </c>
      <c r="B36" s="23">
        <v>110322</v>
      </c>
    </row>
    <row r="37" spans="1:2" hidden="1" x14ac:dyDescent="0.3">
      <c r="A37" s="22" t="s">
        <v>74</v>
      </c>
      <c r="B37" s="23">
        <v>1800</v>
      </c>
    </row>
    <row r="38" spans="1:2" hidden="1" x14ac:dyDescent="0.3">
      <c r="A38" s="22" t="s">
        <v>76</v>
      </c>
      <c r="B38" s="23">
        <v>0</v>
      </c>
    </row>
    <row r="39" spans="1:2" hidden="1" x14ac:dyDescent="0.3">
      <c r="A39" s="22" t="s">
        <v>77</v>
      </c>
      <c r="B39" s="23">
        <v>71266</v>
      </c>
    </row>
    <row r="40" spans="1:2" hidden="1" x14ac:dyDescent="0.3">
      <c r="A40" s="22" t="s">
        <v>78</v>
      </c>
      <c r="B40" s="23">
        <v>999.8</v>
      </c>
    </row>
    <row r="41" spans="1:2" hidden="1" x14ac:dyDescent="0.3">
      <c r="A41" s="22" t="s">
        <v>81</v>
      </c>
      <c r="B41" s="23">
        <v>200</v>
      </c>
    </row>
    <row r="42" spans="1:2" x14ac:dyDescent="0.3">
      <c r="A42" s="22" t="s">
        <v>82</v>
      </c>
      <c r="B42" s="23">
        <v>-0.1</v>
      </c>
    </row>
    <row r="43" spans="1:2" hidden="1" x14ac:dyDescent="0.3">
      <c r="A43" s="22" t="s">
        <v>83</v>
      </c>
      <c r="B43" s="23">
        <v>67436.899999999994</v>
      </c>
    </row>
    <row r="44" spans="1:2" x14ac:dyDescent="0.3">
      <c r="A44" s="22" t="s">
        <v>84</v>
      </c>
      <c r="B44" s="23">
        <v>-0.05</v>
      </c>
    </row>
    <row r="45" spans="1:2" hidden="1" x14ac:dyDescent="0.3">
      <c r="A45" s="22" t="s">
        <v>85</v>
      </c>
      <c r="B45" s="23">
        <v>600</v>
      </c>
    </row>
    <row r="46" spans="1:2" x14ac:dyDescent="0.3">
      <c r="A46" s="22" t="s">
        <v>86</v>
      </c>
      <c r="B46" s="23">
        <v>-0.1</v>
      </c>
    </row>
    <row r="47" spans="1:2" x14ac:dyDescent="0.3">
      <c r="A47" s="22" t="s">
        <v>87</v>
      </c>
      <c r="B47" s="23">
        <v>-0.05</v>
      </c>
    </row>
    <row r="48" spans="1:2" hidden="1" x14ac:dyDescent="0.3">
      <c r="A48" s="22" t="s">
        <v>90</v>
      </c>
      <c r="B48" s="23">
        <v>600</v>
      </c>
    </row>
    <row r="49" spans="1:2" x14ac:dyDescent="0.3">
      <c r="A49" s="22" t="s">
        <v>91</v>
      </c>
      <c r="B49" s="23">
        <v>-0.05</v>
      </c>
    </row>
    <row r="50" spans="1:2" hidden="1" x14ac:dyDescent="0.3">
      <c r="A50" s="22" t="s">
        <v>92</v>
      </c>
      <c r="B50" s="23">
        <v>65472</v>
      </c>
    </row>
    <row r="51" spans="1:2" x14ac:dyDescent="0.3">
      <c r="A51" s="22" t="s">
        <v>93</v>
      </c>
      <c r="B51" s="23">
        <v>-0.1</v>
      </c>
    </row>
    <row r="52" spans="1:2" hidden="1" x14ac:dyDescent="0.3">
      <c r="A52" s="22" t="s">
        <v>94</v>
      </c>
      <c r="B52" s="23">
        <v>0</v>
      </c>
    </row>
    <row r="53" spans="1:2" x14ac:dyDescent="0.3">
      <c r="A53" s="22" t="s">
        <v>95</v>
      </c>
      <c r="B53" s="23">
        <v>-0.1</v>
      </c>
    </row>
    <row r="54" spans="1:2" hidden="1" x14ac:dyDescent="0.3">
      <c r="A54" s="22" t="s">
        <v>96</v>
      </c>
      <c r="B54" s="23">
        <v>218009.9</v>
      </c>
    </row>
    <row r="55" spans="1:2" hidden="1" x14ac:dyDescent="0.3">
      <c r="A55" s="22" t="s">
        <v>97</v>
      </c>
      <c r="B55" s="23">
        <v>56299</v>
      </c>
    </row>
    <row r="56" spans="1:2" x14ac:dyDescent="0.3">
      <c r="A56" s="22" t="s">
        <v>98</v>
      </c>
      <c r="B56" s="23">
        <v>-0.1</v>
      </c>
    </row>
    <row r="57" spans="1:2" x14ac:dyDescent="0.3">
      <c r="A57" s="22" t="s">
        <v>99</v>
      </c>
      <c r="B57" s="23">
        <v>-0.05</v>
      </c>
    </row>
    <row r="58" spans="1:2" hidden="1" x14ac:dyDescent="0.3">
      <c r="A58" s="22" t="s">
        <v>101</v>
      </c>
      <c r="B58" s="23">
        <v>2000</v>
      </c>
    </row>
    <row r="59" spans="1:2" hidden="1" x14ac:dyDescent="0.3">
      <c r="A59" s="22" t="s">
        <v>103</v>
      </c>
      <c r="B59" s="23">
        <v>74875.95</v>
      </c>
    </row>
    <row r="60" spans="1:2" x14ac:dyDescent="0.3">
      <c r="A60" s="22" t="s">
        <v>104</v>
      </c>
      <c r="B60" s="23">
        <v>-0.1</v>
      </c>
    </row>
    <row r="61" spans="1:2" hidden="1" x14ac:dyDescent="0.3">
      <c r="A61" s="22" t="s">
        <v>105</v>
      </c>
      <c r="B61" s="23">
        <v>90470.8</v>
      </c>
    </row>
    <row r="62" spans="1:2" hidden="1" x14ac:dyDescent="0.3">
      <c r="A62" s="22" t="s">
        <v>107</v>
      </c>
      <c r="B62" s="23">
        <v>0</v>
      </c>
    </row>
    <row r="63" spans="1:2" hidden="1" x14ac:dyDescent="0.3">
      <c r="A63" s="22" t="s">
        <v>109</v>
      </c>
      <c r="B63" s="23">
        <v>75559.95</v>
      </c>
    </row>
    <row r="64" spans="1:2" x14ac:dyDescent="0.3">
      <c r="A64" s="22" t="s">
        <v>111</v>
      </c>
      <c r="B64" s="23">
        <v>-0.1</v>
      </c>
    </row>
    <row r="65" spans="1:2" hidden="1" x14ac:dyDescent="0.3">
      <c r="A65" s="22" t="s">
        <v>112</v>
      </c>
      <c r="B65" s="23">
        <v>1400</v>
      </c>
    </row>
    <row r="66" spans="1:2" hidden="1" x14ac:dyDescent="0.3">
      <c r="A66" s="22" t="s">
        <v>114</v>
      </c>
      <c r="B66" s="23">
        <v>199.95</v>
      </c>
    </row>
    <row r="67" spans="1:2" hidden="1" x14ac:dyDescent="0.3">
      <c r="A67" s="22" t="s">
        <v>115</v>
      </c>
      <c r="B67" s="23">
        <v>49391.95</v>
      </c>
    </row>
    <row r="68" spans="1:2" hidden="1" x14ac:dyDescent="0.3">
      <c r="A68" s="22" t="s">
        <v>117</v>
      </c>
      <c r="B68" s="23">
        <v>55497</v>
      </c>
    </row>
    <row r="69" spans="1:2" hidden="1" x14ac:dyDescent="0.3">
      <c r="A69" s="22" t="s">
        <v>119</v>
      </c>
      <c r="B69" s="23">
        <v>600</v>
      </c>
    </row>
    <row r="70" spans="1:2" hidden="1" x14ac:dyDescent="0.3">
      <c r="A70" s="22" t="s">
        <v>120</v>
      </c>
      <c r="B70" s="23">
        <v>0</v>
      </c>
    </row>
    <row r="71" spans="1:2" hidden="1" x14ac:dyDescent="0.3">
      <c r="A71" s="22" t="s">
        <v>121</v>
      </c>
      <c r="B71" s="23">
        <v>0</v>
      </c>
    </row>
    <row r="72" spans="1:2" x14ac:dyDescent="0.3">
      <c r="A72" s="22" t="s">
        <v>122</v>
      </c>
      <c r="B72" s="23">
        <v>-0.1</v>
      </c>
    </row>
    <row r="73" spans="1:2" hidden="1" x14ac:dyDescent="0.3">
      <c r="A73" s="22" t="s">
        <v>123</v>
      </c>
      <c r="B73" s="23">
        <v>600</v>
      </c>
    </row>
    <row r="74" spans="1:2" hidden="1" x14ac:dyDescent="0.3">
      <c r="A74" s="22" t="s">
        <v>125</v>
      </c>
      <c r="B74" s="23">
        <v>1399.9</v>
      </c>
    </row>
    <row r="75" spans="1:2" x14ac:dyDescent="0.3">
      <c r="A75" s="22" t="s">
        <v>126</v>
      </c>
      <c r="B75" s="23">
        <v>-0.05</v>
      </c>
    </row>
    <row r="76" spans="1:2" hidden="1" x14ac:dyDescent="0.3">
      <c r="A76" s="22" t="s">
        <v>127</v>
      </c>
      <c r="B76" s="23">
        <v>236109.8</v>
      </c>
    </row>
    <row r="77" spans="1:2" hidden="1" x14ac:dyDescent="0.3">
      <c r="A77" s="22" t="s">
        <v>128</v>
      </c>
      <c r="B77" s="23">
        <v>800</v>
      </c>
    </row>
    <row r="78" spans="1:2" hidden="1" x14ac:dyDescent="0.3">
      <c r="A78" s="22" t="s">
        <v>129</v>
      </c>
      <c r="B78" s="23">
        <v>999.9</v>
      </c>
    </row>
    <row r="79" spans="1:2" hidden="1" x14ac:dyDescent="0.3">
      <c r="A79" s="22" t="s">
        <v>131</v>
      </c>
      <c r="B79" s="23">
        <v>0</v>
      </c>
    </row>
    <row r="80" spans="1:2" x14ac:dyDescent="0.3">
      <c r="A80" s="22" t="s">
        <v>133</v>
      </c>
      <c r="B80" s="23">
        <v>-0.05</v>
      </c>
    </row>
    <row r="81" spans="1:2" hidden="1" x14ac:dyDescent="0.3">
      <c r="A81" s="22" t="s">
        <v>134</v>
      </c>
      <c r="B81" s="23">
        <v>1399.95</v>
      </c>
    </row>
    <row r="82" spans="1:2" x14ac:dyDescent="0.3">
      <c r="A82" s="22" t="s">
        <v>136</v>
      </c>
      <c r="B82" s="23">
        <v>-0.05</v>
      </c>
    </row>
    <row r="83" spans="1:2" hidden="1" x14ac:dyDescent="0.3">
      <c r="A83" s="22" t="s">
        <v>137</v>
      </c>
      <c r="B83" s="23">
        <v>159984</v>
      </c>
    </row>
    <row r="84" spans="1:2" hidden="1" x14ac:dyDescent="0.3">
      <c r="A84" s="22" t="s">
        <v>138</v>
      </c>
      <c r="B84" s="23">
        <v>42476</v>
      </c>
    </row>
    <row r="85" spans="1:2" hidden="1" x14ac:dyDescent="0.3">
      <c r="A85" s="22" t="s">
        <v>139</v>
      </c>
      <c r="B85" s="23">
        <v>483974.9</v>
      </c>
    </row>
    <row r="86" spans="1:2" hidden="1" x14ac:dyDescent="0.3">
      <c r="A86" s="22" t="s">
        <v>141</v>
      </c>
      <c r="B86" s="23">
        <v>104796.8</v>
      </c>
    </row>
    <row r="87" spans="1:2" hidden="1" x14ac:dyDescent="0.3">
      <c r="A87" s="22" t="s">
        <v>142</v>
      </c>
      <c r="B87" s="23">
        <v>0</v>
      </c>
    </row>
    <row r="88" spans="1:2" hidden="1" x14ac:dyDescent="0.3">
      <c r="A88" s="22" t="s">
        <v>143</v>
      </c>
      <c r="B88" s="23">
        <v>171049.9</v>
      </c>
    </row>
    <row r="89" spans="1:2" hidden="1" x14ac:dyDescent="0.3">
      <c r="A89" s="22" t="s">
        <v>144</v>
      </c>
      <c r="B89" s="23">
        <v>0</v>
      </c>
    </row>
    <row r="90" spans="1:2" hidden="1" x14ac:dyDescent="0.3">
      <c r="A90" s="22" t="s">
        <v>145</v>
      </c>
      <c r="B90" s="23">
        <v>199.8</v>
      </c>
    </row>
    <row r="91" spans="1:2" x14ac:dyDescent="0.3">
      <c r="A91" s="24" t="s">
        <v>155</v>
      </c>
      <c r="B91" s="25">
        <v>-0.1</v>
      </c>
    </row>
    <row r="93" spans="1:2" x14ac:dyDescent="0.3">
      <c r="A93" s="19" t="s">
        <v>167</v>
      </c>
    </row>
    <row r="97" spans="1:2" x14ac:dyDescent="0.3">
      <c r="A97" t="s">
        <v>172</v>
      </c>
    </row>
    <row r="99" spans="1:2" x14ac:dyDescent="0.3">
      <c r="A99" s="13" t="s">
        <v>154</v>
      </c>
      <c r="B99" s="5" t="s">
        <v>171</v>
      </c>
    </row>
    <row r="100" spans="1:2" x14ac:dyDescent="0.3">
      <c r="A100" s="5" t="s">
        <v>31</v>
      </c>
      <c r="B100" s="5">
        <v>48597.018750000003</v>
      </c>
    </row>
    <row r="101" spans="1:2" x14ac:dyDescent="0.3">
      <c r="A101" s="5" t="s">
        <v>17</v>
      </c>
      <c r="B101" s="5">
        <v>17141.149999999998</v>
      </c>
    </row>
    <row r="102" spans="1:2" x14ac:dyDescent="0.3">
      <c r="A102" s="5" t="s">
        <v>57</v>
      </c>
      <c r="B102" s="5">
        <v>10209.378571428571</v>
      </c>
    </row>
    <row r="103" spans="1:2" x14ac:dyDescent="0.3">
      <c r="A103" s="5" t="s">
        <v>36</v>
      </c>
      <c r="B103" s="5">
        <v>69136.827777777784</v>
      </c>
    </row>
    <row r="104" spans="1:2" x14ac:dyDescent="0.3">
      <c r="A104" s="5" t="s">
        <v>39</v>
      </c>
      <c r="B104" s="5">
        <v>77340.541304347804</v>
      </c>
    </row>
    <row r="105" spans="1:2" x14ac:dyDescent="0.3">
      <c r="A105" s="5" t="s">
        <v>25</v>
      </c>
      <c r="B105" s="5">
        <v>49310.381818181828</v>
      </c>
    </row>
    <row r="106" spans="1:2" x14ac:dyDescent="0.3">
      <c r="A106" s="5" t="s">
        <v>149</v>
      </c>
      <c r="B106" s="5">
        <v>52621.209090909098</v>
      </c>
    </row>
    <row r="107" spans="1:2" x14ac:dyDescent="0.3">
      <c r="A107" s="5" t="s">
        <v>155</v>
      </c>
      <c r="B107" s="5">
        <v>52581.831645569611</v>
      </c>
    </row>
  </sheetData>
  <conditionalFormatting pivot="1" sqref="B100:B10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{7416D49D-51C2-4E5C-8C20-E28792AB875D}</x14:id>
        </ext>
      </extLst>
    </cfRule>
  </conditionalFormatting>
  <pageMargins left="0.7" right="0.7" top="0.75" bottom="0.75" header="0.3" footer="0.3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416D49D-51C2-4E5C-8C20-E28792AB87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B100:B106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AEC9-FC07-428B-B6F1-14E605A01CA1}">
  <dimension ref="A1:D44"/>
  <sheetViews>
    <sheetView topLeftCell="A25" workbookViewId="0">
      <selection activeCell="D14" sqref="D14"/>
    </sheetView>
  </sheetViews>
  <sheetFormatPr defaultRowHeight="14.4" x14ac:dyDescent="0.3"/>
  <cols>
    <col min="1" max="1" width="14.77734375" bestFit="1" customWidth="1"/>
    <col min="2" max="2" width="20.21875" bestFit="1" customWidth="1"/>
    <col min="3" max="3" width="14.88671875" bestFit="1" customWidth="1"/>
    <col min="4" max="4" width="12.109375" bestFit="1" customWidth="1"/>
  </cols>
  <sheetData>
    <row r="1" spans="1:4" x14ac:dyDescent="0.3">
      <c r="A1" t="s">
        <v>173</v>
      </c>
    </row>
    <row r="3" spans="1:4" x14ac:dyDescent="0.3">
      <c r="A3" s="13" t="s">
        <v>154</v>
      </c>
      <c r="B3" s="5" t="s">
        <v>156</v>
      </c>
      <c r="C3" s="5" t="s">
        <v>174</v>
      </c>
      <c r="D3" s="5" t="s">
        <v>158</v>
      </c>
    </row>
    <row r="4" spans="1:4" x14ac:dyDescent="0.3">
      <c r="A4" s="5" t="s">
        <v>51</v>
      </c>
      <c r="B4" s="26">
        <v>0.11664022609696266</v>
      </c>
      <c r="C4" s="26">
        <v>0.24528301886792458</v>
      </c>
      <c r="D4" s="26">
        <v>0.11664006196297239</v>
      </c>
    </row>
    <row r="5" spans="1:4" x14ac:dyDescent="0.3">
      <c r="A5" s="5" t="s">
        <v>33</v>
      </c>
      <c r="B5" s="26">
        <v>0.18466069807918689</v>
      </c>
      <c r="C5" s="26">
        <v>0.12264150943396224</v>
      </c>
      <c r="D5" s="26">
        <v>0.18466077720881932</v>
      </c>
    </row>
    <row r="6" spans="1:4" x14ac:dyDescent="0.3">
      <c r="A6" s="5" t="s">
        <v>40</v>
      </c>
      <c r="B6" s="26">
        <v>0.22744555208631742</v>
      </c>
      <c r="C6" s="26">
        <v>0.10377358490566037</v>
      </c>
      <c r="D6" s="26">
        <v>0.22744570987808344</v>
      </c>
    </row>
    <row r="7" spans="1:4" x14ac:dyDescent="0.3">
      <c r="A7" s="5" t="s">
        <v>28</v>
      </c>
      <c r="B7" s="26">
        <v>0.26952048281523461</v>
      </c>
      <c r="C7" s="26">
        <v>0.22641509433962265</v>
      </c>
      <c r="D7" s="26">
        <v>0.26952053781294766</v>
      </c>
    </row>
    <row r="8" spans="1:4" x14ac:dyDescent="0.3">
      <c r="A8" s="5" t="s">
        <v>73</v>
      </c>
      <c r="B8" s="26">
        <v>8.522882928860824E-2</v>
      </c>
      <c r="C8" s="26">
        <v>9.4339622641509427E-2</v>
      </c>
      <c r="D8" s="26">
        <v>8.5228817664242534E-2</v>
      </c>
    </row>
    <row r="9" spans="1:4" x14ac:dyDescent="0.3">
      <c r="A9" s="5" t="s">
        <v>20</v>
      </c>
      <c r="B9" s="26">
        <v>0.11650421163369018</v>
      </c>
      <c r="C9" s="26">
        <v>0.20754716981132074</v>
      </c>
      <c r="D9" s="26">
        <v>0.11650409547293455</v>
      </c>
    </row>
    <row r="10" spans="1:4" x14ac:dyDescent="0.3">
      <c r="A10" s="5" t="s">
        <v>155</v>
      </c>
      <c r="B10" s="26">
        <v>1</v>
      </c>
      <c r="C10" s="26">
        <v>1</v>
      </c>
      <c r="D10" s="26">
        <v>1</v>
      </c>
    </row>
    <row r="12" spans="1:4" x14ac:dyDescent="0.3">
      <c r="A12" s="27" t="s">
        <v>175</v>
      </c>
    </row>
    <row r="14" spans="1:4" x14ac:dyDescent="0.3">
      <c r="A14" t="s">
        <v>176</v>
      </c>
    </row>
    <row r="16" spans="1:4" x14ac:dyDescent="0.3">
      <c r="A16" s="29" t="s">
        <v>8</v>
      </c>
      <c r="B16" s="30" t="s">
        <v>177</v>
      </c>
    </row>
    <row r="17" spans="1:3" x14ac:dyDescent="0.3">
      <c r="A17" s="31" t="s">
        <v>20</v>
      </c>
      <c r="B17" s="23">
        <f>AVERAGEIF(Cleaned_data!I2:I80,'DISCOUNT ANALYSIS'!A17,Cleaned_data!M2:M80)</f>
        <v>8.461538461538462E-2</v>
      </c>
    </row>
    <row r="18" spans="1:3" x14ac:dyDescent="0.3">
      <c r="A18" s="32" t="s">
        <v>28</v>
      </c>
      <c r="B18" s="23">
        <f>AVERAGEIF(Cleaned_data!I3:I81,'DISCOUNT ANALYSIS'!A18,Cleaned_data!M3:M81)</f>
        <v>7.5000000000000011E-2</v>
      </c>
    </row>
    <row r="19" spans="1:3" x14ac:dyDescent="0.3">
      <c r="A19" s="31" t="s">
        <v>33</v>
      </c>
      <c r="B19" s="23">
        <f>AVERAGEIF(Cleaned_data!I4:I82,'DISCOUNT ANALYSIS'!A19,Cleaned_data!M4:M82)</f>
        <v>6.4999999999999988E-2</v>
      </c>
    </row>
    <row r="20" spans="1:3" x14ac:dyDescent="0.3">
      <c r="A20" s="31" t="s">
        <v>40</v>
      </c>
      <c r="B20" s="23">
        <f>AVERAGEIF(Cleaned_data!I5:I83,'DISCOUNT ANALYSIS'!A20,Cleaned_data!M5:M83)</f>
        <v>0.05</v>
      </c>
    </row>
    <row r="21" spans="1:3" x14ac:dyDescent="0.3">
      <c r="A21" s="32" t="s">
        <v>51</v>
      </c>
      <c r="B21" s="23">
        <f>AVERAGEIF(Cleaned_data!I6:I84,'DISCOUNT ANALYSIS'!A21,Cleaned_data!M6:M84)</f>
        <v>7.2222222222222243E-2</v>
      </c>
    </row>
    <row r="22" spans="1:3" x14ac:dyDescent="0.3">
      <c r="A22" s="33" t="s">
        <v>73</v>
      </c>
      <c r="B22" s="25">
        <f>AVERAGEIF(Cleaned_data!I7:I85,'DISCOUNT ANALYSIS'!A22,Cleaned_data!M7:M85)</f>
        <v>4.5454545454545456E-2</v>
      </c>
    </row>
    <row r="24" spans="1:3" x14ac:dyDescent="0.3">
      <c r="A24" t="s">
        <v>178</v>
      </c>
    </row>
    <row r="26" spans="1:3" x14ac:dyDescent="0.3">
      <c r="A26" s="6" t="s">
        <v>154</v>
      </c>
      <c r="B26" s="6" t="s">
        <v>174</v>
      </c>
      <c r="C26" s="6" t="s">
        <v>160</v>
      </c>
    </row>
    <row r="27" spans="1:3" x14ac:dyDescent="0.3">
      <c r="A27" s="5" t="s">
        <v>45</v>
      </c>
      <c r="B27" s="26">
        <v>0.44339622641509441</v>
      </c>
      <c r="C27" s="5">
        <v>396741</v>
      </c>
    </row>
    <row r="28" spans="1:3" x14ac:dyDescent="0.3">
      <c r="A28" s="5" t="s">
        <v>27</v>
      </c>
      <c r="B28" s="26">
        <v>0.27358490566037735</v>
      </c>
      <c r="C28" s="5">
        <v>229225</v>
      </c>
    </row>
    <row r="29" spans="1:3" x14ac:dyDescent="0.3">
      <c r="A29" s="5" t="s">
        <v>19</v>
      </c>
      <c r="B29" s="26">
        <v>0.28301886792452835</v>
      </c>
      <c r="C29" s="5">
        <v>207906</v>
      </c>
    </row>
    <row r="30" spans="1:3" x14ac:dyDescent="0.3">
      <c r="A30" s="6" t="s">
        <v>155</v>
      </c>
      <c r="B30" s="28">
        <v>1</v>
      </c>
      <c r="C30" s="6">
        <v>833872</v>
      </c>
    </row>
    <row r="32" spans="1:3" x14ac:dyDescent="0.3">
      <c r="A32" s="27" t="s">
        <v>179</v>
      </c>
    </row>
    <row r="34" spans="1:2" x14ac:dyDescent="0.3">
      <c r="A34" t="s">
        <v>180</v>
      </c>
    </row>
    <row r="36" spans="1:2" x14ac:dyDescent="0.3">
      <c r="A36" s="6" t="s">
        <v>154</v>
      </c>
      <c r="B36" s="6" t="s">
        <v>174</v>
      </c>
    </row>
    <row r="37" spans="1:2" x14ac:dyDescent="0.3">
      <c r="A37" s="34" t="s">
        <v>73</v>
      </c>
      <c r="B37" s="35">
        <v>9.4339622641509427E-2</v>
      </c>
    </row>
    <row r="38" spans="1:2" x14ac:dyDescent="0.3">
      <c r="A38" s="5" t="s">
        <v>40</v>
      </c>
      <c r="B38" s="26">
        <v>0.10377358490566037</v>
      </c>
    </row>
    <row r="39" spans="1:2" x14ac:dyDescent="0.3">
      <c r="A39" s="5" t="s">
        <v>33</v>
      </c>
      <c r="B39" s="26">
        <v>0.12264150943396224</v>
      </c>
    </row>
    <row r="40" spans="1:2" x14ac:dyDescent="0.3">
      <c r="A40" s="5" t="s">
        <v>20</v>
      </c>
      <c r="B40" s="26">
        <v>0.20754716981132074</v>
      </c>
    </row>
    <row r="41" spans="1:2" x14ac:dyDescent="0.3">
      <c r="A41" s="5" t="s">
        <v>28</v>
      </c>
      <c r="B41" s="26">
        <v>0.22641509433962265</v>
      </c>
    </row>
    <row r="42" spans="1:2" x14ac:dyDescent="0.3">
      <c r="A42" s="5" t="s">
        <v>51</v>
      </c>
      <c r="B42" s="26">
        <v>0.24528301886792458</v>
      </c>
    </row>
    <row r="43" spans="1:2" x14ac:dyDescent="0.3">
      <c r="A43" s="6" t="s">
        <v>155</v>
      </c>
      <c r="B43" s="28">
        <v>1</v>
      </c>
    </row>
    <row r="44" spans="1:2" x14ac:dyDescent="0.3">
      <c r="B44" s="14"/>
    </row>
  </sheetData>
  <sortState xmlns:xlrd2="http://schemas.microsoft.com/office/spreadsheetml/2017/richdata2" ref="A17:B22">
    <sortCondition descending="1" ref="B17:B22"/>
  </sortState>
  <phoneticPr fontId="2" type="noConversion"/>
  <conditionalFormatting pivot="1" sqref="B4:D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{A0E48275-AEB2-4151-BF87-9273080CDDA4}</x14:id>
        </ext>
      </extLst>
    </cfRule>
  </conditionalFormatting>
  <conditionalFormatting sqref="B17:B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{D3E99342-C273-4134-8566-F902D2D0C30A}</x14:id>
        </ext>
      </extLst>
    </cfRule>
  </conditionalFormatting>
  <pageMargins left="0.7" right="0.7" top="0.75" bottom="0.75" header="0.3" footer="0.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0E48275-AEB2-4151-BF87-9273080CDD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B4:D9</xm:sqref>
        </x14:conditionalFormatting>
        <x14:conditionalFormatting xmlns:xm="http://schemas.microsoft.com/office/excel/2006/main">
          <x14:cfRule type="dataBar" id="{D3E99342-C273-4134-8566-F902D2D0C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B17:B22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7533-7A14-4484-ACE9-DAA2FE99AF4E}">
  <dimension ref="A1:B96"/>
  <sheetViews>
    <sheetView topLeftCell="A70" workbookViewId="0">
      <selection activeCell="E80" sqref="E80"/>
    </sheetView>
  </sheetViews>
  <sheetFormatPr defaultRowHeight="14.4" x14ac:dyDescent="0.3"/>
  <cols>
    <col min="1" max="1" width="14.77734375" bestFit="1" customWidth="1"/>
    <col min="2" max="2" width="22.6640625" bestFit="1" customWidth="1"/>
  </cols>
  <sheetData>
    <row r="1" spans="1:2" x14ac:dyDescent="0.3">
      <c r="A1" t="s">
        <v>181</v>
      </c>
    </row>
    <row r="3" spans="1:2" x14ac:dyDescent="0.3">
      <c r="A3" s="13" t="s">
        <v>154</v>
      </c>
      <c r="B3" s="5" t="s">
        <v>184</v>
      </c>
    </row>
    <row r="4" spans="1:2" x14ac:dyDescent="0.3">
      <c r="A4" s="5" t="s">
        <v>92</v>
      </c>
      <c r="B4" s="5">
        <v>7</v>
      </c>
    </row>
    <row r="5" spans="1:2" x14ac:dyDescent="0.3">
      <c r="A5" s="5" t="s">
        <v>133</v>
      </c>
      <c r="B5" s="5">
        <v>7</v>
      </c>
    </row>
    <row r="6" spans="1:2" x14ac:dyDescent="0.3">
      <c r="A6" s="5" t="s">
        <v>112</v>
      </c>
      <c r="B6" s="5">
        <v>7</v>
      </c>
    </row>
    <row r="7" spans="1:2" x14ac:dyDescent="0.3">
      <c r="A7" s="5" t="s">
        <v>47</v>
      </c>
      <c r="B7" s="5">
        <v>7</v>
      </c>
    </row>
    <row r="8" spans="1:2" x14ac:dyDescent="0.3">
      <c r="A8" s="5" t="s">
        <v>77</v>
      </c>
      <c r="B8" s="5">
        <v>7</v>
      </c>
    </row>
    <row r="9" spans="1:2" x14ac:dyDescent="0.3">
      <c r="A9" s="5" t="s">
        <v>52</v>
      </c>
      <c r="B9" s="5">
        <v>7</v>
      </c>
    </row>
    <row r="10" spans="1:2" x14ac:dyDescent="0.3">
      <c r="A10" s="5" t="s">
        <v>95</v>
      </c>
      <c r="B10" s="5">
        <v>7</v>
      </c>
    </row>
    <row r="11" spans="1:2" x14ac:dyDescent="0.3">
      <c r="A11" s="5" t="s">
        <v>59</v>
      </c>
      <c r="B11" s="5">
        <v>7</v>
      </c>
    </row>
    <row r="12" spans="1:2" x14ac:dyDescent="0.3">
      <c r="A12" s="5" t="s">
        <v>61</v>
      </c>
      <c r="B12" s="5">
        <v>7</v>
      </c>
    </row>
    <row r="13" spans="1:2" x14ac:dyDescent="0.3">
      <c r="A13" s="5" t="s">
        <v>67</v>
      </c>
      <c r="B13" s="5">
        <v>7</v>
      </c>
    </row>
    <row r="14" spans="1:2" x14ac:dyDescent="0.3">
      <c r="A14" s="5" t="s">
        <v>56</v>
      </c>
      <c r="B14" s="5">
        <v>6</v>
      </c>
    </row>
    <row r="15" spans="1:2" x14ac:dyDescent="0.3">
      <c r="A15" s="5" t="s">
        <v>46</v>
      </c>
      <c r="B15" s="5">
        <v>6</v>
      </c>
    </row>
    <row r="16" spans="1:2" x14ac:dyDescent="0.3">
      <c r="A16" s="5" t="s">
        <v>131</v>
      </c>
      <c r="B16" s="5">
        <v>6</v>
      </c>
    </row>
    <row r="17" spans="1:2" x14ac:dyDescent="0.3">
      <c r="A17" s="5" t="s">
        <v>76</v>
      </c>
      <c r="B17" s="5">
        <v>6</v>
      </c>
    </row>
    <row r="18" spans="1:2" x14ac:dyDescent="0.3">
      <c r="A18" s="5" t="s">
        <v>65</v>
      </c>
      <c r="B18" s="5">
        <v>6</v>
      </c>
    </row>
    <row r="19" spans="1:2" x14ac:dyDescent="0.3">
      <c r="A19" s="5" t="s">
        <v>22</v>
      </c>
      <c r="B19" s="5">
        <v>6</v>
      </c>
    </row>
    <row r="20" spans="1:2" x14ac:dyDescent="0.3">
      <c r="A20" s="5" t="s">
        <v>128</v>
      </c>
      <c r="B20" s="5">
        <v>6</v>
      </c>
    </row>
    <row r="21" spans="1:2" x14ac:dyDescent="0.3">
      <c r="A21" s="5" t="s">
        <v>87</v>
      </c>
      <c r="B21" s="5">
        <v>6</v>
      </c>
    </row>
    <row r="22" spans="1:2" x14ac:dyDescent="0.3">
      <c r="A22" s="5" t="s">
        <v>74</v>
      </c>
      <c r="B22" s="5">
        <v>6</v>
      </c>
    </row>
    <row r="23" spans="1:2" x14ac:dyDescent="0.3">
      <c r="A23" s="5" t="s">
        <v>145</v>
      </c>
      <c r="B23" s="5">
        <v>6</v>
      </c>
    </row>
    <row r="24" spans="1:2" x14ac:dyDescent="0.3">
      <c r="A24" s="5" t="s">
        <v>82</v>
      </c>
      <c r="B24" s="5">
        <v>6</v>
      </c>
    </row>
    <row r="25" spans="1:2" x14ac:dyDescent="0.3">
      <c r="A25" s="5" t="s">
        <v>120</v>
      </c>
      <c r="B25" s="5">
        <v>5</v>
      </c>
    </row>
    <row r="26" spans="1:2" x14ac:dyDescent="0.3">
      <c r="A26" s="5" t="s">
        <v>34</v>
      </c>
      <c r="B26" s="5">
        <v>5</v>
      </c>
    </row>
    <row r="27" spans="1:2" x14ac:dyDescent="0.3">
      <c r="A27" s="5" t="s">
        <v>123</v>
      </c>
      <c r="B27" s="5">
        <v>5</v>
      </c>
    </row>
    <row r="28" spans="1:2" x14ac:dyDescent="0.3">
      <c r="A28" s="5" t="s">
        <v>97</v>
      </c>
      <c r="B28" s="5">
        <v>5</v>
      </c>
    </row>
    <row r="29" spans="1:2" x14ac:dyDescent="0.3">
      <c r="A29" s="5" t="s">
        <v>137</v>
      </c>
      <c r="B29" s="5">
        <v>5</v>
      </c>
    </row>
    <row r="30" spans="1:2" x14ac:dyDescent="0.3">
      <c r="A30" s="5" t="s">
        <v>101</v>
      </c>
      <c r="B30" s="5">
        <v>5</v>
      </c>
    </row>
    <row r="31" spans="1:2" x14ac:dyDescent="0.3">
      <c r="A31" s="5" t="s">
        <v>122</v>
      </c>
      <c r="B31" s="5">
        <v>5</v>
      </c>
    </row>
    <row r="32" spans="1:2" x14ac:dyDescent="0.3">
      <c r="A32" s="5" t="s">
        <v>103</v>
      </c>
      <c r="B32" s="5">
        <v>5</v>
      </c>
    </row>
    <row r="33" spans="1:2" x14ac:dyDescent="0.3">
      <c r="A33" s="5" t="s">
        <v>60</v>
      </c>
      <c r="B33" s="5">
        <v>5</v>
      </c>
    </row>
    <row r="34" spans="1:2" x14ac:dyDescent="0.3">
      <c r="A34" s="5" t="s">
        <v>111</v>
      </c>
      <c r="B34" s="5">
        <v>5</v>
      </c>
    </row>
    <row r="35" spans="1:2" x14ac:dyDescent="0.3">
      <c r="A35" s="5" t="s">
        <v>64</v>
      </c>
      <c r="B35" s="5">
        <v>5</v>
      </c>
    </row>
    <row r="36" spans="1:2" x14ac:dyDescent="0.3">
      <c r="A36" s="5" t="s">
        <v>139</v>
      </c>
      <c r="B36" s="5">
        <v>5</v>
      </c>
    </row>
    <row r="37" spans="1:2" x14ac:dyDescent="0.3">
      <c r="A37" s="5" t="s">
        <v>29</v>
      </c>
      <c r="B37" s="5">
        <v>5</v>
      </c>
    </row>
    <row r="38" spans="1:2" x14ac:dyDescent="0.3">
      <c r="A38" s="5" t="s">
        <v>115</v>
      </c>
      <c r="B38" s="5">
        <v>5</v>
      </c>
    </row>
    <row r="39" spans="1:2" x14ac:dyDescent="0.3">
      <c r="A39" s="5" t="s">
        <v>90</v>
      </c>
      <c r="B39" s="5">
        <v>5</v>
      </c>
    </row>
    <row r="40" spans="1:2" x14ac:dyDescent="0.3">
      <c r="A40" s="5" t="s">
        <v>44</v>
      </c>
      <c r="B40" s="5">
        <v>4</v>
      </c>
    </row>
    <row r="41" spans="1:2" x14ac:dyDescent="0.3">
      <c r="A41" s="5" t="s">
        <v>143</v>
      </c>
      <c r="B41" s="5">
        <v>4</v>
      </c>
    </row>
    <row r="42" spans="1:2" x14ac:dyDescent="0.3">
      <c r="A42" s="5" t="s">
        <v>84</v>
      </c>
      <c r="B42" s="5">
        <v>4</v>
      </c>
    </row>
    <row r="43" spans="1:2" x14ac:dyDescent="0.3">
      <c r="A43" s="5" t="s">
        <v>85</v>
      </c>
      <c r="B43" s="5">
        <v>4</v>
      </c>
    </row>
    <row r="44" spans="1:2" x14ac:dyDescent="0.3">
      <c r="A44" s="5" t="s">
        <v>81</v>
      </c>
      <c r="B44" s="5">
        <v>4</v>
      </c>
    </row>
    <row r="45" spans="1:2" x14ac:dyDescent="0.3">
      <c r="A45" s="5" t="s">
        <v>70</v>
      </c>
      <c r="B45" s="5">
        <v>4</v>
      </c>
    </row>
    <row r="46" spans="1:2" x14ac:dyDescent="0.3">
      <c r="A46" s="5" t="s">
        <v>138</v>
      </c>
      <c r="B46" s="5">
        <v>4</v>
      </c>
    </row>
    <row r="47" spans="1:2" x14ac:dyDescent="0.3">
      <c r="A47" s="5" t="s">
        <v>49</v>
      </c>
      <c r="B47" s="5">
        <v>4</v>
      </c>
    </row>
    <row r="48" spans="1:2" x14ac:dyDescent="0.3">
      <c r="A48" s="5" t="s">
        <v>141</v>
      </c>
      <c r="B48" s="5">
        <v>4</v>
      </c>
    </row>
    <row r="49" spans="1:2" x14ac:dyDescent="0.3">
      <c r="A49" s="5" t="s">
        <v>104</v>
      </c>
      <c r="B49" s="5">
        <v>4</v>
      </c>
    </row>
    <row r="50" spans="1:2" x14ac:dyDescent="0.3">
      <c r="A50" s="5" t="s">
        <v>129</v>
      </c>
      <c r="B50" s="5">
        <v>4</v>
      </c>
    </row>
    <row r="51" spans="1:2" x14ac:dyDescent="0.3">
      <c r="A51" s="5" t="s">
        <v>127</v>
      </c>
      <c r="B51" s="5">
        <v>4</v>
      </c>
    </row>
    <row r="52" spans="1:2" x14ac:dyDescent="0.3">
      <c r="A52" s="5" t="s">
        <v>91</v>
      </c>
      <c r="B52" s="5">
        <v>3</v>
      </c>
    </row>
    <row r="53" spans="1:2" x14ac:dyDescent="0.3">
      <c r="A53" s="5" t="s">
        <v>119</v>
      </c>
      <c r="B53" s="5">
        <v>3</v>
      </c>
    </row>
    <row r="54" spans="1:2" x14ac:dyDescent="0.3">
      <c r="A54" s="5" t="s">
        <v>126</v>
      </c>
      <c r="B54" s="5">
        <v>3</v>
      </c>
    </row>
    <row r="55" spans="1:2" x14ac:dyDescent="0.3">
      <c r="A55" s="5" t="s">
        <v>98</v>
      </c>
      <c r="B55" s="5">
        <v>3</v>
      </c>
    </row>
    <row r="56" spans="1:2" x14ac:dyDescent="0.3">
      <c r="A56" s="5" t="s">
        <v>96</v>
      </c>
      <c r="B56" s="5">
        <v>3</v>
      </c>
    </row>
    <row r="57" spans="1:2" x14ac:dyDescent="0.3">
      <c r="A57" s="5" t="s">
        <v>134</v>
      </c>
      <c r="B57" s="5">
        <v>3</v>
      </c>
    </row>
    <row r="58" spans="1:2" x14ac:dyDescent="0.3">
      <c r="A58" s="5" t="s">
        <v>63</v>
      </c>
      <c r="B58" s="5">
        <v>3</v>
      </c>
    </row>
    <row r="59" spans="1:2" x14ac:dyDescent="0.3">
      <c r="A59" s="5" t="s">
        <v>38</v>
      </c>
      <c r="B59" s="5">
        <v>3</v>
      </c>
    </row>
    <row r="60" spans="1:2" x14ac:dyDescent="0.3">
      <c r="A60" s="5" t="s">
        <v>93</v>
      </c>
      <c r="B60" s="5">
        <v>3</v>
      </c>
    </row>
    <row r="61" spans="1:2" x14ac:dyDescent="0.3">
      <c r="A61" s="5" t="s">
        <v>109</v>
      </c>
      <c r="B61" s="5">
        <v>2</v>
      </c>
    </row>
    <row r="62" spans="1:2" x14ac:dyDescent="0.3">
      <c r="A62" s="5" t="s">
        <v>14</v>
      </c>
      <c r="B62" s="5">
        <v>2</v>
      </c>
    </row>
    <row r="63" spans="1:2" x14ac:dyDescent="0.3">
      <c r="A63" s="5" t="s">
        <v>114</v>
      </c>
      <c r="B63" s="5">
        <v>2</v>
      </c>
    </row>
    <row r="64" spans="1:2" x14ac:dyDescent="0.3">
      <c r="A64" s="5" t="s">
        <v>83</v>
      </c>
      <c r="B64" s="5">
        <v>2</v>
      </c>
    </row>
    <row r="65" spans="1:2" x14ac:dyDescent="0.3">
      <c r="A65" s="5" t="s">
        <v>136</v>
      </c>
      <c r="B65" s="5">
        <v>2</v>
      </c>
    </row>
    <row r="66" spans="1:2" x14ac:dyDescent="0.3">
      <c r="A66" s="5" t="s">
        <v>99</v>
      </c>
      <c r="B66" s="5">
        <v>2</v>
      </c>
    </row>
    <row r="67" spans="1:2" x14ac:dyDescent="0.3">
      <c r="A67" s="5" t="s">
        <v>78</v>
      </c>
      <c r="B67" s="5">
        <v>2</v>
      </c>
    </row>
    <row r="68" spans="1:2" x14ac:dyDescent="0.3">
      <c r="A68" s="5" t="s">
        <v>86</v>
      </c>
      <c r="B68" s="5">
        <v>2</v>
      </c>
    </row>
    <row r="69" spans="1:2" x14ac:dyDescent="0.3">
      <c r="A69" s="5" t="s">
        <v>142</v>
      </c>
      <c r="B69" s="5">
        <v>2</v>
      </c>
    </row>
    <row r="70" spans="1:2" x14ac:dyDescent="0.3">
      <c r="A70" s="5" t="s">
        <v>53</v>
      </c>
      <c r="B70" s="5">
        <v>2</v>
      </c>
    </row>
    <row r="71" spans="1:2" x14ac:dyDescent="0.3">
      <c r="A71" s="5" t="s">
        <v>94</v>
      </c>
      <c r="B71" s="5">
        <v>2</v>
      </c>
    </row>
    <row r="72" spans="1:2" x14ac:dyDescent="0.3">
      <c r="A72" s="5" t="s">
        <v>68</v>
      </c>
      <c r="B72" s="5">
        <v>2</v>
      </c>
    </row>
    <row r="73" spans="1:2" x14ac:dyDescent="0.3">
      <c r="A73" s="5" t="s">
        <v>105</v>
      </c>
      <c r="B73" s="5">
        <v>1</v>
      </c>
    </row>
    <row r="74" spans="1:2" x14ac:dyDescent="0.3">
      <c r="A74" s="5" t="s">
        <v>72</v>
      </c>
      <c r="B74" s="5">
        <v>1</v>
      </c>
    </row>
    <row r="75" spans="1:2" x14ac:dyDescent="0.3">
      <c r="A75" s="5" t="s">
        <v>117</v>
      </c>
      <c r="B75" s="5">
        <v>1</v>
      </c>
    </row>
    <row r="76" spans="1:2" x14ac:dyDescent="0.3">
      <c r="A76" s="5" t="s">
        <v>66</v>
      </c>
      <c r="B76" s="5">
        <v>1</v>
      </c>
    </row>
    <row r="77" spans="1:2" x14ac:dyDescent="0.3">
      <c r="A77" s="5" t="s">
        <v>125</v>
      </c>
      <c r="B77" s="5">
        <v>1</v>
      </c>
    </row>
    <row r="78" spans="1:2" x14ac:dyDescent="0.3">
      <c r="A78" s="5" t="s">
        <v>121</v>
      </c>
      <c r="B78" s="5">
        <v>1</v>
      </c>
    </row>
    <row r="79" spans="1:2" x14ac:dyDescent="0.3">
      <c r="A79" s="5" t="s">
        <v>144</v>
      </c>
      <c r="B79" s="5">
        <v>1</v>
      </c>
    </row>
    <row r="80" spans="1:2" x14ac:dyDescent="0.3">
      <c r="A80" s="5" t="s">
        <v>71</v>
      </c>
      <c r="B80" s="5">
        <v>1</v>
      </c>
    </row>
    <row r="81" spans="1:2" x14ac:dyDescent="0.3">
      <c r="A81" s="5" t="s">
        <v>107</v>
      </c>
      <c r="B81" s="5">
        <v>1</v>
      </c>
    </row>
    <row r="82" spans="1:2" x14ac:dyDescent="0.3">
      <c r="A82" s="5" t="s">
        <v>41</v>
      </c>
      <c r="B82" s="5">
        <v>1</v>
      </c>
    </row>
    <row r="83" spans="1:2" x14ac:dyDescent="0.3">
      <c r="A83" s="5" t="s">
        <v>155</v>
      </c>
      <c r="B83" s="5">
        <v>4.0506329113924053</v>
      </c>
    </row>
    <row r="85" spans="1:2" x14ac:dyDescent="0.3">
      <c r="A85" t="s">
        <v>185</v>
      </c>
    </row>
    <row r="87" spans="1:2" x14ac:dyDescent="0.3">
      <c r="A87" s="6" t="s">
        <v>154</v>
      </c>
      <c r="B87" s="6" t="s">
        <v>183</v>
      </c>
    </row>
    <row r="88" spans="1:2" x14ac:dyDescent="0.3">
      <c r="A88" s="5" t="s">
        <v>39</v>
      </c>
      <c r="B88" s="5">
        <v>80</v>
      </c>
    </row>
    <row r="89" spans="1:2" x14ac:dyDescent="0.3">
      <c r="A89" s="5" t="s">
        <v>25</v>
      </c>
      <c r="B89" s="5">
        <v>51</v>
      </c>
    </row>
    <row r="90" spans="1:2" x14ac:dyDescent="0.3">
      <c r="A90" s="5" t="s">
        <v>149</v>
      </c>
      <c r="B90" s="5">
        <v>50</v>
      </c>
    </row>
    <row r="91" spans="1:2" x14ac:dyDescent="0.3">
      <c r="A91" s="5" t="s">
        <v>36</v>
      </c>
      <c r="B91" s="5">
        <v>45</v>
      </c>
    </row>
    <row r="92" spans="1:2" x14ac:dyDescent="0.3">
      <c r="A92" s="5" t="s">
        <v>17</v>
      </c>
      <c r="B92" s="5">
        <v>37</v>
      </c>
    </row>
    <row r="93" spans="1:2" x14ac:dyDescent="0.3">
      <c r="A93" s="5" t="s">
        <v>57</v>
      </c>
      <c r="B93" s="5">
        <v>33</v>
      </c>
    </row>
    <row r="94" spans="1:2" x14ac:dyDescent="0.3">
      <c r="A94" s="5" t="s">
        <v>31</v>
      </c>
      <c r="B94" s="5">
        <v>24</v>
      </c>
    </row>
    <row r="95" spans="1:2" x14ac:dyDescent="0.3">
      <c r="A95" s="6" t="s">
        <v>155</v>
      </c>
      <c r="B95" s="6">
        <v>320</v>
      </c>
    </row>
    <row r="96" spans="1:2" x14ac:dyDescent="0.3">
      <c r="A96" s="5"/>
      <c r="B96" s="5"/>
    </row>
  </sheetData>
  <conditionalFormatting sqref="A88:A8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{96747690-E7D2-40CE-A6F0-983D919D415A}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747690-E7D2-40CE-A6F0-983D919D41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A88:A89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3039-671C-400E-9F6E-A4AB0FAE44C4}">
  <dimension ref="A1:B57"/>
  <sheetViews>
    <sheetView topLeftCell="A40" workbookViewId="0">
      <selection activeCell="D11" sqref="D11"/>
    </sheetView>
  </sheetViews>
  <sheetFormatPr defaultRowHeight="14.4" x14ac:dyDescent="0.3"/>
  <cols>
    <col min="1" max="1" width="14.77734375" bestFit="1" customWidth="1"/>
    <col min="2" max="2" width="14.88671875" bestFit="1" customWidth="1"/>
    <col min="3" max="3" width="20.21875" bestFit="1" customWidth="1"/>
  </cols>
  <sheetData>
    <row r="1" spans="1:2" x14ac:dyDescent="0.3">
      <c r="A1" t="s">
        <v>186</v>
      </c>
    </row>
    <row r="3" spans="1:2" x14ac:dyDescent="0.3">
      <c r="A3" s="6" t="s">
        <v>154</v>
      </c>
      <c r="B3" s="6" t="s">
        <v>156</v>
      </c>
    </row>
    <row r="4" spans="1:2" x14ac:dyDescent="0.3">
      <c r="A4" s="5" t="s">
        <v>42</v>
      </c>
      <c r="B4" s="5">
        <v>1674331</v>
      </c>
    </row>
    <row r="5" spans="1:2" x14ac:dyDescent="0.3">
      <c r="A5" s="5" t="s">
        <v>24</v>
      </c>
      <c r="B5" s="5">
        <v>1330653</v>
      </c>
    </row>
    <row r="6" spans="1:2" x14ac:dyDescent="0.3">
      <c r="A6" s="5" t="s">
        <v>16</v>
      </c>
      <c r="B6" s="5">
        <v>1148986</v>
      </c>
    </row>
    <row r="7" spans="1:2" x14ac:dyDescent="0.3">
      <c r="A7" s="6" t="s">
        <v>155</v>
      </c>
      <c r="B7" s="6">
        <v>4153970</v>
      </c>
    </row>
    <row r="9" spans="1:2" x14ac:dyDescent="0.3">
      <c r="A9" t="s">
        <v>187</v>
      </c>
    </row>
    <row r="11" spans="1:2" x14ac:dyDescent="0.3">
      <c r="A11" s="13" t="s">
        <v>154</v>
      </c>
      <c r="B11" s="5" t="s">
        <v>158</v>
      </c>
    </row>
    <row r="12" spans="1:2" x14ac:dyDescent="0.3">
      <c r="A12" s="5" t="s">
        <v>42</v>
      </c>
      <c r="B12" s="5">
        <v>1674329.4499999997</v>
      </c>
    </row>
    <row r="13" spans="1:2" x14ac:dyDescent="0.3">
      <c r="A13" s="5" t="s">
        <v>24</v>
      </c>
      <c r="B13" s="5">
        <v>1330650.8999999997</v>
      </c>
    </row>
    <row r="14" spans="1:2" x14ac:dyDescent="0.3">
      <c r="A14" s="5" t="s">
        <v>16</v>
      </c>
      <c r="B14" s="5">
        <v>1148984.3500000001</v>
      </c>
    </row>
    <row r="15" spans="1:2" x14ac:dyDescent="0.3">
      <c r="A15" s="5" t="s">
        <v>155</v>
      </c>
      <c r="B15" s="5">
        <v>4153964.6999999997</v>
      </c>
    </row>
    <row r="17" spans="1:2" x14ac:dyDescent="0.3">
      <c r="A17" t="s">
        <v>188</v>
      </c>
    </row>
    <row r="19" spans="1:2" x14ac:dyDescent="0.3">
      <c r="A19" s="13" t="s">
        <v>154</v>
      </c>
      <c r="B19" s="5" t="s">
        <v>189</v>
      </c>
    </row>
    <row r="20" spans="1:2" x14ac:dyDescent="0.3">
      <c r="A20" s="5" t="s">
        <v>42</v>
      </c>
      <c r="B20" s="5">
        <v>72797</v>
      </c>
    </row>
    <row r="21" spans="1:2" x14ac:dyDescent="0.3">
      <c r="A21" s="5" t="s">
        <v>24</v>
      </c>
      <c r="B21" s="5">
        <v>41582.90625</v>
      </c>
    </row>
    <row r="22" spans="1:2" x14ac:dyDescent="0.3">
      <c r="A22" s="5" t="s">
        <v>16</v>
      </c>
      <c r="B22" s="5">
        <v>47874.416666666664</v>
      </c>
    </row>
    <row r="23" spans="1:2" x14ac:dyDescent="0.3">
      <c r="A23" s="5" t="s">
        <v>155</v>
      </c>
      <c r="B23" s="5">
        <v>52581.898734177215</v>
      </c>
    </row>
    <row r="25" spans="1:2" x14ac:dyDescent="0.3">
      <c r="A25" s="36" t="s">
        <v>190</v>
      </c>
    </row>
    <row r="27" spans="1:2" x14ac:dyDescent="0.3">
      <c r="A27" s="13" t="s">
        <v>154</v>
      </c>
      <c r="B27" s="5" t="s">
        <v>174</v>
      </c>
    </row>
    <row r="28" spans="1:2" x14ac:dyDescent="0.3">
      <c r="A28" s="5" t="s">
        <v>24</v>
      </c>
      <c r="B28" s="26">
        <v>0.3962264150943397</v>
      </c>
    </row>
    <row r="29" spans="1:2" x14ac:dyDescent="0.3">
      <c r="A29" s="5" t="s">
        <v>16</v>
      </c>
      <c r="B29" s="26">
        <v>0.31132075471698106</v>
      </c>
    </row>
    <row r="30" spans="1:2" x14ac:dyDescent="0.3">
      <c r="A30" s="5" t="s">
        <v>42</v>
      </c>
      <c r="B30" s="26">
        <v>0.29245283018867918</v>
      </c>
    </row>
    <row r="31" spans="1:2" x14ac:dyDescent="0.3">
      <c r="A31" s="5" t="s">
        <v>155</v>
      </c>
      <c r="B31" s="26">
        <v>1</v>
      </c>
    </row>
    <row r="33" spans="1:2" x14ac:dyDescent="0.3">
      <c r="A33" t="s">
        <v>191</v>
      </c>
    </row>
    <row r="35" spans="1:2" x14ac:dyDescent="0.3">
      <c r="A35" s="13" t="s">
        <v>154</v>
      </c>
      <c r="B35" s="5" t="s">
        <v>192</v>
      </c>
    </row>
    <row r="36" spans="1:2" x14ac:dyDescent="0.3">
      <c r="A36" s="5" t="s">
        <v>168</v>
      </c>
      <c r="B36" s="5">
        <v>40</v>
      </c>
    </row>
    <row r="37" spans="1:2" x14ac:dyDescent="0.3">
      <c r="A37" s="5" t="s">
        <v>169</v>
      </c>
      <c r="B37" s="5">
        <v>37</v>
      </c>
    </row>
    <row r="38" spans="1:2" x14ac:dyDescent="0.3">
      <c r="A38" s="5" t="s">
        <v>170</v>
      </c>
      <c r="B38" s="5">
        <v>2</v>
      </c>
    </row>
    <row r="39" spans="1:2" x14ac:dyDescent="0.3">
      <c r="A39" s="5" t="s">
        <v>155</v>
      </c>
      <c r="B39" s="5">
        <v>79</v>
      </c>
    </row>
    <row r="41" spans="1:2" x14ac:dyDescent="0.3">
      <c r="A41" s="27" t="s">
        <v>193</v>
      </c>
    </row>
    <row r="43" spans="1:2" x14ac:dyDescent="0.3">
      <c r="A43" t="s">
        <v>194</v>
      </c>
    </row>
    <row r="45" spans="1:2" x14ac:dyDescent="0.3">
      <c r="A45" s="11" t="s">
        <v>154</v>
      </c>
      <c r="B45" s="4" t="s">
        <v>158</v>
      </c>
    </row>
    <row r="46" spans="1:2" x14ac:dyDescent="0.3">
      <c r="A46" s="12" t="s">
        <v>169</v>
      </c>
      <c r="B46" s="47">
        <v>2113207.6499999994</v>
      </c>
    </row>
    <row r="47" spans="1:2" x14ac:dyDescent="0.3">
      <c r="A47" s="12" t="s">
        <v>168</v>
      </c>
      <c r="B47" s="47">
        <v>2040557.0499999993</v>
      </c>
    </row>
    <row r="48" spans="1:2" x14ac:dyDescent="0.3">
      <c r="A48" s="12" t="s">
        <v>170</v>
      </c>
      <c r="B48" s="47">
        <v>200</v>
      </c>
    </row>
    <row r="49" spans="1:2" x14ac:dyDescent="0.3">
      <c r="A49" s="12" t="s">
        <v>155</v>
      </c>
      <c r="B49" s="47">
        <v>4153964.6999999988</v>
      </c>
    </row>
    <row r="51" spans="1:2" x14ac:dyDescent="0.3">
      <c r="A51" t="s">
        <v>195</v>
      </c>
    </row>
    <row r="53" spans="1:2" x14ac:dyDescent="0.3">
      <c r="A53" s="13" t="s">
        <v>154</v>
      </c>
      <c r="B53" s="5" t="s">
        <v>192</v>
      </c>
    </row>
    <row r="54" spans="1:2" x14ac:dyDescent="0.3">
      <c r="A54" s="5" t="s">
        <v>168</v>
      </c>
      <c r="B54" s="5">
        <v>40</v>
      </c>
    </row>
    <row r="55" spans="1:2" x14ac:dyDescent="0.3">
      <c r="A55" s="5" t="s">
        <v>169</v>
      </c>
      <c r="B55" s="5">
        <v>37</v>
      </c>
    </row>
    <row r="56" spans="1:2" x14ac:dyDescent="0.3">
      <c r="A56" s="5" t="s">
        <v>170</v>
      </c>
      <c r="B56" s="5">
        <v>2</v>
      </c>
    </row>
    <row r="57" spans="1:2" x14ac:dyDescent="0.3">
      <c r="A57" s="5" t="s">
        <v>155</v>
      </c>
      <c r="B57" s="5">
        <v>79</v>
      </c>
    </row>
  </sheetData>
  <conditionalFormatting pivot="1" sqref="B4:B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12:A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2089-CC59-4BD4-9258-79C6C105AC2F}">
  <dimension ref="A1:C40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t="s">
        <v>191</v>
      </c>
    </row>
    <row r="3" spans="1:2" x14ac:dyDescent="0.3">
      <c r="A3" s="13" t="s">
        <v>154</v>
      </c>
      <c r="B3" s="5" t="s">
        <v>192</v>
      </c>
    </row>
    <row r="4" spans="1:2" x14ac:dyDescent="0.3">
      <c r="A4" s="5" t="s">
        <v>168</v>
      </c>
      <c r="B4" s="48">
        <v>40</v>
      </c>
    </row>
    <row r="5" spans="1:2" x14ac:dyDescent="0.3">
      <c r="A5" s="5" t="s">
        <v>169</v>
      </c>
      <c r="B5" s="48">
        <v>37</v>
      </c>
    </row>
    <row r="6" spans="1:2" x14ac:dyDescent="0.3">
      <c r="A6" s="5" t="s">
        <v>170</v>
      </c>
      <c r="B6" s="48">
        <v>2</v>
      </c>
    </row>
    <row r="7" spans="1:2" x14ac:dyDescent="0.3">
      <c r="A7" s="5" t="s">
        <v>155</v>
      </c>
      <c r="B7" s="48">
        <v>79</v>
      </c>
    </row>
    <row r="9" spans="1:2" x14ac:dyDescent="0.3">
      <c r="A9" s="49" t="s">
        <v>196</v>
      </c>
    </row>
    <row r="11" spans="1:2" x14ac:dyDescent="0.3">
      <c r="A11" t="s">
        <v>194</v>
      </c>
    </row>
    <row r="13" spans="1:2" x14ac:dyDescent="0.3">
      <c r="A13" s="13" t="s">
        <v>154</v>
      </c>
      <c r="B13" s="5" t="s">
        <v>158</v>
      </c>
    </row>
    <row r="14" spans="1:2" x14ac:dyDescent="0.3">
      <c r="A14" s="5" t="s">
        <v>168</v>
      </c>
      <c r="B14" s="48">
        <v>2040557.0499999993</v>
      </c>
    </row>
    <row r="15" spans="1:2" x14ac:dyDescent="0.3">
      <c r="A15" s="5" t="s">
        <v>169</v>
      </c>
      <c r="B15" s="48">
        <v>2113207.6499999994</v>
      </c>
    </row>
    <row r="16" spans="1:2" x14ac:dyDescent="0.3">
      <c r="A16" s="5" t="s">
        <v>170</v>
      </c>
      <c r="B16" s="48">
        <v>200</v>
      </c>
    </row>
    <row r="17" spans="1:3" x14ac:dyDescent="0.3">
      <c r="A17" s="5" t="s">
        <v>155</v>
      </c>
      <c r="B17" s="48">
        <v>4153964.6999999988</v>
      </c>
    </row>
    <row r="19" spans="1:3" x14ac:dyDescent="0.3">
      <c r="A19" s="49" t="s">
        <v>197</v>
      </c>
    </row>
    <row r="23" spans="1:3" x14ac:dyDescent="0.3">
      <c r="A23" s="37"/>
      <c r="B23" s="38"/>
      <c r="C23" s="39"/>
    </row>
    <row r="24" spans="1:3" x14ac:dyDescent="0.3">
      <c r="A24" s="40"/>
      <c r="B24" s="41"/>
      <c r="C24" s="42"/>
    </row>
    <row r="25" spans="1:3" x14ac:dyDescent="0.3">
      <c r="A25" s="40"/>
      <c r="B25" s="41"/>
      <c r="C25" s="42"/>
    </row>
    <row r="26" spans="1:3" x14ac:dyDescent="0.3">
      <c r="A26" s="40"/>
      <c r="B26" s="41"/>
      <c r="C26" s="42"/>
    </row>
    <row r="27" spans="1:3" x14ac:dyDescent="0.3">
      <c r="A27" s="40"/>
      <c r="B27" s="41"/>
      <c r="C27" s="42"/>
    </row>
    <row r="28" spans="1:3" x14ac:dyDescent="0.3">
      <c r="A28" s="40"/>
      <c r="B28" s="41"/>
      <c r="C28" s="42"/>
    </row>
    <row r="29" spans="1:3" x14ac:dyDescent="0.3">
      <c r="A29" s="40"/>
      <c r="B29" s="41"/>
      <c r="C29" s="42"/>
    </row>
    <row r="30" spans="1:3" x14ac:dyDescent="0.3">
      <c r="A30" s="40"/>
      <c r="B30" s="41"/>
      <c r="C30" s="42"/>
    </row>
    <row r="31" spans="1:3" x14ac:dyDescent="0.3">
      <c r="A31" s="40"/>
      <c r="B31" s="41"/>
      <c r="C31" s="42"/>
    </row>
    <row r="32" spans="1:3" x14ac:dyDescent="0.3">
      <c r="A32" s="40"/>
      <c r="B32" s="41"/>
      <c r="C32" s="42"/>
    </row>
    <row r="33" spans="1:3" x14ac:dyDescent="0.3">
      <c r="A33" s="40"/>
      <c r="B33" s="41"/>
      <c r="C33" s="42"/>
    </row>
    <row r="34" spans="1:3" x14ac:dyDescent="0.3">
      <c r="A34" s="40"/>
      <c r="B34" s="41"/>
      <c r="C34" s="42"/>
    </row>
    <row r="35" spans="1:3" x14ac:dyDescent="0.3">
      <c r="A35" s="40"/>
      <c r="B35" s="41"/>
      <c r="C35" s="42"/>
    </row>
    <row r="36" spans="1:3" x14ac:dyDescent="0.3">
      <c r="A36" s="40"/>
      <c r="B36" s="41"/>
      <c r="C36" s="42"/>
    </row>
    <row r="37" spans="1:3" x14ac:dyDescent="0.3">
      <c r="A37" s="40"/>
      <c r="B37" s="41"/>
      <c r="C37" s="42"/>
    </row>
    <row r="38" spans="1:3" x14ac:dyDescent="0.3">
      <c r="A38" s="40"/>
      <c r="B38" s="41"/>
      <c r="C38" s="42"/>
    </row>
    <row r="39" spans="1:3" x14ac:dyDescent="0.3">
      <c r="A39" s="40"/>
      <c r="B39" s="41"/>
      <c r="C39" s="42"/>
    </row>
    <row r="40" spans="1:3" x14ac:dyDescent="0.3">
      <c r="A40" s="43"/>
      <c r="B40" s="44"/>
      <c r="C40" s="45"/>
    </row>
  </sheetData>
  <conditionalFormatting pivot="1" sqref="B14 B15 B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{7C228040-B396-46CB-A212-02F02D809BF0}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C228040-B396-46CB-A212-02F02D809B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B14 B15 B16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0BDB-6844-4D2A-89A5-DCFFC8A630E6}">
  <dimension ref="A1:C169"/>
  <sheetViews>
    <sheetView workbookViewId="0">
      <selection activeCell="A171" sqref="A171:D172"/>
    </sheetView>
  </sheetViews>
  <sheetFormatPr defaultRowHeight="14.4" x14ac:dyDescent="0.3"/>
  <cols>
    <col min="1" max="1" width="12.5546875" bestFit="1" customWidth="1"/>
    <col min="2" max="2" width="17.109375" bestFit="1" customWidth="1"/>
    <col min="3" max="3" width="14.33203125" bestFit="1" customWidth="1"/>
  </cols>
  <sheetData>
    <row r="1" spans="1:2" x14ac:dyDescent="0.3">
      <c r="A1" t="s">
        <v>198</v>
      </c>
    </row>
    <row r="3" spans="1:2" x14ac:dyDescent="0.3">
      <c r="A3" s="2" t="s">
        <v>154</v>
      </c>
      <c r="B3" s="2" t="s">
        <v>199</v>
      </c>
    </row>
    <row r="4" spans="1:2" x14ac:dyDescent="0.3">
      <c r="A4" s="2" t="s">
        <v>155</v>
      </c>
      <c r="B4" s="2">
        <v>1</v>
      </c>
    </row>
    <row r="5" spans="1:2" x14ac:dyDescent="0.3">
      <c r="A5" s="2" t="s">
        <v>139</v>
      </c>
      <c r="B5" s="2">
        <v>0.11650902630495646</v>
      </c>
    </row>
    <row r="6" spans="1:2" x14ac:dyDescent="0.3">
      <c r="A6" s="2" t="s">
        <v>53</v>
      </c>
      <c r="B6" s="2">
        <v>9.6041136551299117E-2</v>
      </c>
    </row>
    <row r="7" spans="1:2" x14ac:dyDescent="0.3">
      <c r="A7" s="2" t="s">
        <v>38</v>
      </c>
      <c r="B7" s="2">
        <v>7.3854649889142199E-2</v>
      </c>
    </row>
    <row r="8" spans="1:2" x14ac:dyDescent="0.3">
      <c r="A8" s="2" t="s">
        <v>47</v>
      </c>
      <c r="B8" s="2">
        <v>7.0152167685370859E-2</v>
      </c>
    </row>
    <row r="9" spans="1:2" x14ac:dyDescent="0.3">
      <c r="A9" s="2" t="s">
        <v>67</v>
      </c>
      <c r="B9" s="2">
        <v>6.9107384020587539E-2</v>
      </c>
    </row>
    <row r="10" spans="1:2" x14ac:dyDescent="0.3">
      <c r="A10" s="2" t="s">
        <v>127</v>
      </c>
      <c r="B10" s="2">
        <v>5.6839601634099429E-2</v>
      </c>
    </row>
    <row r="11" spans="1:2" x14ac:dyDescent="0.3">
      <c r="A11" s="2" t="s">
        <v>34</v>
      </c>
      <c r="B11" s="2">
        <v>5.3404333685606778E-2</v>
      </c>
    </row>
    <row r="12" spans="1:2" x14ac:dyDescent="0.3">
      <c r="A12" s="2" t="s">
        <v>96</v>
      </c>
      <c r="B12" s="2">
        <v>5.2482324138113663E-2</v>
      </c>
    </row>
    <row r="13" spans="1:2" x14ac:dyDescent="0.3">
      <c r="A13" s="2" t="s">
        <v>143</v>
      </c>
      <c r="B13" s="2">
        <v>4.1177476004882078E-2</v>
      </c>
    </row>
    <row r="14" spans="1:2" hidden="1" x14ac:dyDescent="0.3">
      <c r="A14" s="2" t="s">
        <v>137</v>
      </c>
      <c r="B14" s="2">
        <v>3.8513518393247903E-2</v>
      </c>
    </row>
    <row r="15" spans="1:2" hidden="1" x14ac:dyDescent="0.3">
      <c r="A15" s="2" t="s">
        <v>63</v>
      </c>
      <c r="B15" s="2">
        <v>3.3223157605856569E-2</v>
      </c>
    </row>
    <row r="16" spans="1:2" hidden="1" x14ac:dyDescent="0.3">
      <c r="A16" s="2" t="s">
        <v>72</v>
      </c>
      <c r="B16" s="2">
        <v>2.6558208171941541E-2</v>
      </c>
    </row>
    <row r="17" spans="1:2" hidden="1" x14ac:dyDescent="0.3">
      <c r="A17" s="2" t="s">
        <v>141</v>
      </c>
      <c r="B17" s="2">
        <v>2.5228155234630966E-2</v>
      </c>
    </row>
    <row r="18" spans="1:2" hidden="1" x14ac:dyDescent="0.3">
      <c r="A18" s="2" t="s">
        <v>46</v>
      </c>
      <c r="B18" s="2">
        <v>2.4983329200740496E-2</v>
      </c>
    </row>
    <row r="19" spans="1:2" hidden="1" x14ac:dyDescent="0.3">
      <c r="A19" s="2" t="s">
        <v>105</v>
      </c>
      <c r="B19" s="2">
        <v>2.177940620659273E-2</v>
      </c>
    </row>
    <row r="20" spans="1:2" hidden="1" x14ac:dyDescent="0.3">
      <c r="A20" s="2" t="s">
        <v>49</v>
      </c>
      <c r="B20" s="2">
        <v>2.1728852158296761E-2</v>
      </c>
    </row>
    <row r="21" spans="1:2" hidden="1" x14ac:dyDescent="0.3">
      <c r="A21" s="2" t="s">
        <v>66</v>
      </c>
      <c r="B21" s="2">
        <v>2.0804194541607184E-2</v>
      </c>
    </row>
    <row r="22" spans="1:2" hidden="1" x14ac:dyDescent="0.3">
      <c r="A22" s="2" t="s">
        <v>109</v>
      </c>
      <c r="B22" s="2">
        <v>1.8189828044015723E-2</v>
      </c>
    </row>
    <row r="23" spans="1:2" hidden="1" x14ac:dyDescent="0.3">
      <c r="A23" s="2" t="s">
        <v>103</v>
      </c>
      <c r="B23" s="2">
        <v>1.802516628670886E-2</v>
      </c>
    </row>
    <row r="24" spans="1:2" hidden="1" x14ac:dyDescent="0.3">
      <c r="A24" s="2" t="s">
        <v>77</v>
      </c>
      <c r="B24" s="2">
        <v>1.7156118123144846E-2</v>
      </c>
    </row>
    <row r="25" spans="1:2" hidden="1" x14ac:dyDescent="0.3">
      <c r="A25" s="2" t="s">
        <v>83</v>
      </c>
      <c r="B25" s="2">
        <v>1.6234349309215041E-2</v>
      </c>
    </row>
    <row r="26" spans="1:2" hidden="1" x14ac:dyDescent="0.3">
      <c r="A26" s="2" t="s">
        <v>92</v>
      </c>
      <c r="B26" s="2">
        <v>1.5761307857302773E-2</v>
      </c>
    </row>
    <row r="27" spans="1:2" hidden="1" x14ac:dyDescent="0.3">
      <c r="A27" s="2" t="s">
        <v>97</v>
      </c>
      <c r="B27" s="2">
        <v>1.3553058881022251E-2</v>
      </c>
    </row>
    <row r="28" spans="1:2" hidden="1" x14ac:dyDescent="0.3">
      <c r="A28" s="2" t="s">
        <v>117</v>
      </c>
      <c r="B28" s="2">
        <v>1.3359990563244318E-2</v>
      </c>
    </row>
    <row r="29" spans="1:2" hidden="1" x14ac:dyDescent="0.3">
      <c r="A29" s="2" t="s">
        <v>115</v>
      </c>
      <c r="B29" s="2">
        <v>1.189031215921155E-2</v>
      </c>
    </row>
    <row r="30" spans="1:2" hidden="1" x14ac:dyDescent="0.3">
      <c r="A30" s="2" t="s">
        <v>138</v>
      </c>
      <c r="B30" s="2">
        <v>1.0225398835331021E-2</v>
      </c>
    </row>
    <row r="31" spans="1:2" hidden="1" x14ac:dyDescent="0.3">
      <c r="A31" s="2" t="s">
        <v>22</v>
      </c>
      <c r="B31" s="2">
        <v>1.0018367970880869E-2</v>
      </c>
    </row>
    <row r="32" spans="1:2" hidden="1" x14ac:dyDescent="0.3">
      <c r="A32" s="2" t="s">
        <v>44</v>
      </c>
      <c r="B32" s="2">
        <v>4.5269946581222298E-3</v>
      </c>
    </row>
    <row r="33" spans="1:2" hidden="1" x14ac:dyDescent="0.3">
      <c r="A33" s="2" t="s">
        <v>59</v>
      </c>
      <c r="B33" s="2">
        <v>3.6167810552315016E-3</v>
      </c>
    </row>
    <row r="34" spans="1:2" hidden="1" x14ac:dyDescent="0.3">
      <c r="A34" s="2" t="s">
        <v>101</v>
      </c>
      <c r="B34" s="2">
        <v>4.8146712662826166E-4</v>
      </c>
    </row>
    <row r="35" spans="1:2" hidden="1" x14ac:dyDescent="0.3">
      <c r="A35" s="2" t="s">
        <v>74</v>
      </c>
      <c r="B35" s="2">
        <v>4.3332041396543545E-4</v>
      </c>
    </row>
    <row r="36" spans="1:2" hidden="1" x14ac:dyDescent="0.3">
      <c r="A36" s="2" t="s">
        <v>71</v>
      </c>
      <c r="B36" s="2">
        <v>3.8517370130260929E-4</v>
      </c>
    </row>
    <row r="37" spans="1:2" hidden="1" x14ac:dyDescent="0.3">
      <c r="A37" s="2" t="s">
        <v>112</v>
      </c>
      <c r="B37" s="2">
        <v>3.3702698863978314E-4</v>
      </c>
    </row>
    <row r="38" spans="1:2" hidden="1" x14ac:dyDescent="0.3">
      <c r="A38" s="2" t="s">
        <v>134</v>
      </c>
      <c r="B38" s="2">
        <v>3.3702698863978314E-4</v>
      </c>
    </row>
    <row r="39" spans="1:2" hidden="1" x14ac:dyDescent="0.3">
      <c r="A39" s="2" t="s">
        <v>125</v>
      </c>
      <c r="B39" s="2">
        <v>3.3702698863978314E-4</v>
      </c>
    </row>
    <row r="40" spans="1:2" hidden="1" x14ac:dyDescent="0.3">
      <c r="A40" s="2" t="s">
        <v>61</v>
      </c>
      <c r="B40" s="2">
        <v>3.3702698863978314E-4</v>
      </c>
    </row>
    <row r="41" spans="1:2" hidden="1" x14ac:dyDescent="0.3">
      <c r="A41" s="2" t="s">
        <v>65</v>
      </c>
      <c r="B41" s="2">
        <v>2.8888027597695698E-4</v>
      </c>
    </row>
    <row r="42" spans="1:2" hidden="1" x14ac:dyDescent="0.3">
      <c r="A42" s="2" t="s">
        <v>52</v>
      </c>
      <c r="B42" s="2">
        <v>2.4073356331413083E-4</v>
      </c>
    </row>
    <row r="43" spans="1:2" hidden="1" x14ac:dyDescent="0.3">
      <c r="A43" s="2" t="s">
        <v>129</v>
      </c>
      <c r="B43" s="2">
        <v>2.4073356331413083E-4</v>
      </c>
    </row>
    <row r="44" spans="1:2" hidden="1" x14ac:dyDescent="0.3">
      <c r="A44" s="2" t="s">
        <v>14</v>
      </c>
      <c r="B44" s="2">
        <v>2.4073356331413083E-4</v>
      </c>
    </row>
    <row r="45" spans="1:2" hidden="1" x14ac:dyDescent="0.3">
      <c r="A45" s="2" t="s">
        <v>78</v>
      </c>
      <c r="B45" s="2">
        <v>2.4073356331413083E-4</v>
      </c>
    </row>
    <row r="46" spans="1:2" hidden="1" x14ac:dyDescent="0.3">
      <c r="A46" s="2" t="s">
        <v>128</v>
      </c>
      <c r="B46" s="2">
        <v>1.9258685065130465E-4</v>
      </c>
    </row>
    <row r="47" spans="1:2" hidden="1" x14ac:dyDescent="0.3">
      <c r="A47" s="2" t="s">
        <v>123</v>
      </c>
      <c r="B47" s="2">
        <v>1.4444013798847849E-4</v>
      </c>
    </row>
    <row r="48" spans="1:2" hidden="1" x14ac:dyDescent="0.3">
      <c r="A48" s="2" t="s">
        <v>85</v>
      </c>
      <c r="B48" s="2">
        <v>1.4444013798847849E-4</v>
      </c>
    </row>
    <row r="49" spans="1:2" hidden="1" x14ac:dyDescent="0.3">
      <c r="A49" s="2" t="s">
        <v>29</v>
      </c>
      <c r="B49" s="2">
        <v>1.4444013798847849E-4</v>
      </c>
    </row>
    <row r="50" spans="1:2" hidden="1" x14ac:dyDescent="0.3">
      <c r="A50" s="2" t="s">
        <v>119</v>
      </c>
      <c r="B50" s="2">
        <v>1.4444013798847849E-4</v>
      </c>
    </row>
    <row r="51" spans="1:2" hidden="1" x14ac:dyDescent="0.3">
      <c r="A51" s="2" t="s">
        <v>90</v>
      </c>
      <c r="B51" s="2">
        <v>1.4444013798847849E-4</v>
      </c>
    </row>
    <row r="52" spans="1:2" hidden="1" x14ac:dyDescent="0.3">
      <c r="A52" s="2" t="s">
        <v>70</v>
      </c>
      <c r="B52" s="2">
        <v>9.6293425325652324E-5</v>
      </c>
    </row>
    <row r="53" spans="1:2" hidden="1" x14ac:dyDescent="0.3">
      <c r="A53" s="2" t="s">
        <v>81</v>
      </c>
      <c r="B53" s="2">
        <v>4.8146712662826162E-5</v>
      </c>
    </row>
    <row r="54" spans="1:2" hidden="1" x14ac:dyDescent="0.3">
      <c r="A54" s="2" t="s">
        <v>114</v>
      </c>
      <c r="B54" s="2">
        <v>4.8146712662826162E-5</v>
      </c>
    </row>
    <row r="55" spans="1:2" hidden="1" x14ac:dyDescent="0.3">
      <c r="A55" s="2" t="s">
        <v>145</v>
      </c>
      <c r="B55" s="2">
        <v>4.8146712662826162E-5</v>
      </c>
    </row>
    <row r="56" spans="1:2" hidden="1" x14ac:dyDescent="0.3">
      <c r="A56" s="2" t="s">
        <v>136</v>
      </c>
      <c r="B56" s="2">
        <v>0</v>
      </c>
    </row>
    <row r="57" spans="1:2" hidden="1" x14ac:dyDescent="0.3">
      <c r="A57" s="2" t="s">
        <v>76</v>
      </c>
      <c r="B57" s="2">
        <v>0</v>
      </c>
    </row>
    <row r="58" spans="1:2" hidden="1" x14ac:dyDescent="0.3">
      <c r="A58" s="2" t="s">
        <v>41</v>
      </c>
      <c r="B58" s="2">
        <v>0</v>
      </c>
    </row>
    <row r="59" spans="1:2" hidden="1" x14ac:dyDescent="0.3">
      <c r="A59" s="2" t="s">
        <v>111</v>
      </c>
      <c r="B59" s="2">
        <v>0</v>
      </c>
    </row>
    <row r="60" spans="1:2" hidden="1" x14ac:dyDescent="0.3">
      <c r="A60" s="2" t="s">
        <v>104</v>
      </c>
      <c r="B60" s="2">
        <v>0</v>
      </c>
    </row>
    <row r="61" spans="1:2" hidden="1" x14ac:dyDescent="0.3">
      <c r="A61" s="2" t="s">
        <v>82</v>
      </c>
      <c r="B61" s="2">
        <v>0</v>
      </c>
    </row>
    <row r="62" spans="1:2" hidden="1" x14ac:dyDescent="0.3">
      <c r="A62" s="2" t="s">
        <v>87</v>
      </c>
      <c r="B62" s="2">
        <v>0</v>
      </c>
    </row>
    <row r="63" spans="1:2" hidden="1" x14ac:dyDescent="0.3">
      <c r="A63" s="2" t="s">
        <v>107</v>
      </c>
      <c r="B63" s="2">
        <v>0</v>
      </c>
    </row>
    <row r="64" spans="1:2" hidden="1" x14ac:dyDescent="0.3">
      <c r="A64" s="2" t="s">
        <v>68</v>
      </c>
      <c r="B64" s="2">
        <v>0</v>
      </c>
    </row>
    <row r="65" spans="1:2" hidden="1" x14ac:dyDescent="0.3">
      <c r="A65" s="2" t="s">
        <v>64</v>
      </c>
      <c r="B65" s="2">
        <v>0</v>
      </c>
    </row>
    <row r="66" spans="1:2" hidden="1" x14ac:dyDescent="0.3">
      <c r="A66" s="2" t="s">
        <v>126</v>
      </c>
      <c r="B66" s="2">
        <v>0</v>
      </c>
    </row>
    <row r="67" spans="1:2" hidden="1" x14ac:dyDescent="0.3">
      <c r="A67" s="2" t="s">
        <v>98</v>
      </c>
      <c r="B67" s="2">
        <v>0</v>
      </c>
    </row>
    <row r="68" spans="1:2" hidden="1" x14ac:dyDescent="0.3">
      <c r="A68" s="2" t="s">
        <v>133</v>
      </c>
      <c r="B68" s="2">
        <v>0</v>
      </c>
    </row>
    <row r="69" spans="1:2" hidden="1" x14ac:dyDescent="0.3">
      <c r="A69" s="2" t="s">
        <v>56</v>
      </c>
      <c r="B69" s="2">
        <v>0</v>
      </c>
    </row>
    <row r="70" spans="1:2" hidden="1" x14ac:dyDescent="0.3">
      <c r="A70" s="2" t="s">
        <v>131</v>
      </c>
      <c r="B70" s="2">
        <v>0</v>
      </c>
    </row>
    <row r="71" spans="1:2" hidden="1" x14ac:dyDescent="0.3">
      <c r="A71" s="2" t="s">
        <v>144</v>
      </c>
      <c r="B71" s="2">
        <v>0</v>
      </c>
    </row>
    <row r="72" spans="1:2" hidden="1" x14ac:dyDescent="0.3">
      <c r="A72" s="2" t="s">
        <v>86</v>
      </c>
      <c r="B72" s="2">
        <v>0</v>
      </c>
    </row>
    <row r="73" spans="1:2" hidden="1" x14ac:dyDescent="0.3">
      <c r="A73" s="2" t="s">
        <v>94</v>
      </c>
      <c r="B73" s="2">
        <v>0</v>
      </c>
    </row>
    <row r="74" spans="1:2" hidden="1" x14ac:dyDescent="0.3">
      <c r="A74" s="2" t="s">
        <v>99</v>
      </c>
      <c r="B74" s="2">
        <v>0</v>
      </c>
    </row>
    <row r="75" spans="1:2" hidden="1" x14ac:dyDescent="0.3">
      <c r="A75" s="2" t="s">
        <v>120</v>
      </c>
      <c r="B75" s="2">
        <v>0</v>
      </c>
    </row>
    <row r="76" spans="1:2" hidden="1" x14ac:dyDescent="0.3">
      <c r="A76" s="2" t="s">
        <v>91</v>
      </c>
      <c r="B76" s="2">
        <v>0</v>
      </c>
    </row>
    <row r="77" spans="1:2" hidden="1" x14ac:dyDescent="0.3">
      <c r="A77" s="2" t="s">
        <v>121</v>
      </c>
      <c r="B77" s="2">
        <v>0</v>
      </c>
    </row>
    <row r="78" spans="1:2" hidden="1" x14ac:dyDescent="0.3">
      <c r="A78" s="2" t="s">
        <v>142</v>
      </c>
      <c r="B78" s="2">
        <v>0</v>
      </c>
    </row>
    <row r="79" spans="1:2" hidden="1" x14ac:dyDescent="0.3">
      <c r="A79" s="2" t="s">
        <v>122</v>
      </c>
      <c r="B79" s="2">
        <v>0</v>
      </c>
    </row>
    <row r="80" spans="1:2" hidden="1" x14ac:dyDescent="0.3">
      <c r="A80" s="2" t="s">
        <v>60</v>
      </c>
      <c r="B80" s="2">
        <v>0</v>
      </c>
    </row>
    <row r="81" spans="1:3" hidden="1" x14ac:dyDescent="0.3">
      <c r="A81" s="2" t="s">
        <v>95</v>
      </c>
      <c r="B81" s="2">
        <v>0</v>
      </c>
    </row>
    <row r="82" spans="1:3" hidden="1" x14ac:dyDescent="0.3">
      <c r="A82" s="2" t="s">
        <v>84</v>
      </c>
      <c r="B82" s="2">
        <v>0</v>
      </c>
    </row>
    <row r="83" spans="1:3" hidden="1" x14ac:dyDescent="0.3">
      <c r="A83" s="2" t="s">
        <v>93</v>
      </c>
      <c r="B83" s="2">
        <v>0</v>
      </c>
    </row>
    <row r="85" spans="1:3" x14ac:dyDescent="0.3">
      <c r="A85" t="s">
        <v>200</v>
      </c>
    </row>
    <row r="87" spans="1:3" x14ac:dyDescent="0.3">
      <c r="A87" s="20" t="s">
        <v>154</v>
      </c>
      <c r="B87" s="50" t="s">
        <v>174</v>
      </c>
      <c r="C87" s="21" t="s">
        <v>158</v>
      </c>
    </row>
    <row r="88" spans="1:3" x14ac:dyDescent="0.3">
      <c r="A88" s="22" t="s">
        <v>93</v>
      </c>
      <c r="B88" s="5">
        <v>0.1</v>
      </c>
      <c r="C88" s="23">
        <v>-0.1</v>
      </c>
    </row>
    <row r="89" spans="1:3" x14ac:dyDescent="0.3">
      <c r="A89" s="22" t="s">
        <v>82</v>
      </c>
      <c r="B89" s="5">
        <v>0.1</v>
      </c>
      <c r="C89" s="23">
        <v>-0.1</v>
      </c>
    </row>
    <row r="90" spans="1:3" x14ac:dyDescent="0.3">
      <c r="A90" s="22" t="s">
        <v>86</v>
      </c>
      <c r="B90" s="5">
        <v>0.1</v>
      </c>
      <c r="C90" s="23">
        <v>-0.1</v>
      </c>
    </row>
    <row r="91" spans="1:3" x14ac:dyDescent="0.3">
      <c r="A91" s="22" t="s">
        <v>56</v>
      </c>
      <c r="B91" s="5">
        <v>0.1</v>
      </c>
      <c r="C91" s="23">
        <v>-0.1</v>
      </c>
    </row>
    <row r="92" spans="1:3" x14ac:dyDescent="0.3">
      <c r="A92" s="22" t="s">
        <v>95</v>
      </c>
      <c r="B92" s="5">
        <v>0.1</v>
      </c>
      <c r="C92" s="23">
        <v>-0.1</v>
      </c>
    </row>
    <row r="93" spans="1:3" x14ac:dyDescent="0.3">
      <c r="A93" s="22" t="s">
        <v>68</v>
      </c>
      <c r="B93" s="5">
        <v>0.1</v>
      </c>
      <c r="C93" s="23">
        <v>-0.1</v>
      </c>
    </row>
    <row r="94" spans="1:3" x14ac:dyDescent="0.3">
      <c r="A94" s="22" t="s">
        <v>98</v>
      </c>
      <c r="B94" s="5">
        <v>0.1</v>
      </c>
      <c r="C94" s="23">
        <v>-0.1</v>
      </c>
    </row>
    <row r="95" spans="1:3" x14ac:dyDescent="0.3">
      <c r="A95" s="22" t="s">
        <v>60</v>
      </c>
      <c r="B95" s="5">
        <v>0.1</v>
      </c>
      <c r="C95" s="23">
        <v>-0.1</v>
      </c>
    </row>
    <row r="96" spans="1:3" x14ac:dyDescent="0.3">
      <c r="A96" s="22" t="s">
        <v>104</v>
      </c>
      <c r="B96" s="5">
        <v>0.1</v>
      </c>
      <c r="C96" s="23">
        <v>-0.1</v>
      </c>
    </row>
    <row r="97" spans="1:3" x14ac:dyDescent="0.3">
      <c r="A97" s="22" t="s">
        <v>122</v>
      </c>
      <c r="B97" s="5">
        <v>0.1</v>
      </c>
      <c r="C97" s="23">
        <v>-0.1</v>
      </c>
    </row>
    <row r="98" spans="1:3" x14ac:dyDescent="0.3">
      <c r="A98" s="22" t="s">
        <v>111</v>
      </c>
      <c r="B98" s="5">
        <v>0.1</v>
      </c>
      <c r="C98" s="23">
        <v>-0.1</v>
      </c>
    </row>
    <row r="99" spans="1:3" x14ac:dyDescent="0.3">
      <c r="A99" s="22" t="s">
        <v>91</v>
      </c>
      <c r="B99" s="5">
        <v>0.05</v>
      </c>
      <c r="C99" s="23">
        <v>-0.05</v>
      </c>
    </row>
    <row r="100" spans="1:3" x14ac:dyDescent="0.3">
      <c r="A100" s="22" t="s">
        <v>84</v>
      </c>
      <c r="B100" s="5">
        <v>0.05</v>
      </c>
      <c r="C100" s="23">
        <v>-0.05</v>
      </c>
    </row>
    <row r="101" spans="1:3" x14ac:dyDescent="0.3">
      <c r="A101" s="22" t="s">
        <v>87</v>
      </c>
      <c r="B101" s="5">
        <v>0.05</v>
      </c>
      <c r="C101" s="23">
        <v>-0.05</v>
      </c>
    </row>
    <row r="102" spans="1:3" x14ac:dyDescent="0.3">
      <c r="A102" s="22" t="s">
        <v>136</v>
      </c>
      <c r="B102" s="5">
        <v>0.05</v>
      </c>
      <c r="C102" s="23">
        <v>-0.05</v>
      </c>
    </row>
    <row r="103" spans="1:3" x14ac:dyDescent="0.3">
      <c r="A103" s="22" t="s">
        <v>126</v>
      </c>
      <c r="B103" s="5">
        <v>0.05</v>
      </c>
      <c r="C103" s="23">
        <v>-0.05</v>
      </c>
    </row>
    <row r="104" spans="1:3" x14ac:dyDescent="0.3">
      <c r="A104" s="22" t="s">
        <v>99</v>
      </c>
      <c r="B104" s="5">
        <v>0.05</v>
      </c>
      <c r="C104" s="23">
        <v>-0.05</v>
      </c>
    </row>
    <row r="105" spans="1:3" x14ac:dyDescent="0.3">
      <c r="A105" s="22" t="s">
        <v>133</v>
      </c>
      <c r="B105" s="5">
        <v>0.05</v>
      </c>
      <c r="C105" s="23">
        <v>-0.05</v>
      </c>
    </row>
    <row r="106" spans="1:3" x14ac:dyDescent="0.3">
      <c r="A106" s="22" t="s">
        <v>94</v>
      </c>
      <c r="B106" s="5">
        <v>0</v>
      </c>
      <c r="C106" s="23">
        <v>0</v>
      </c>
    </row>
    <row r="107" spans="1:3" x14ac:dyDescent="0.3">
      <c r="A107" s="22" t="s">
        <v>120</v>
      </c>
      <c r="B107" s="5">
        <v>0</v>
      </c>
      <c r="C107" s="23">
        <v>0</v>
      </c>
    </row>
    <row r="108" spans="1:3" x14ac:dyDescent="0.3">
      <c r="A108" s="22" t="s">
        <v>121</v>
      </c>
      <c r="B108" s="5">
        <v>0</v>
      </c>
      <c r="C108" s="23">
        <v>0</v>
      </c>
    </row>
    <row r="109" spans="1:3" x14ac:dyDescent="0.3">
      <c r="A109" s="22" t="s">
        <v>76</v>
      </c>
      <c r="B109" s="5">
        <v>0</v>
      </c>
      <c r="C109" s="23">
        <v>0</v>
      </c>
    </row>
    <row r="110" spans="1:3" x14ac:dyDescent="0.3">
      <c r="A110" s="22" t="s">
        <v>144</v>
      </c>
      <c r="B110" s="5">
        <v>0</v>
      </c>
      <c r="C110" s="23">
        <v>0</v>
      </c>
    </row>
    <row r="111" spans="1:3" x14ac:dyDescent="0.3">
      <c r="A111" s="22" t="s">
        <v>64</v>
      </c>
      <c r="B111" s="5">
        <v>0</v>
      </c>
      <c r="C111" s="23">
        <v>0</v>
      </c>
    </row>
    <row r="112" spans="1:3" x14ac:dyDescent="0.3">
      <c r="A112" s="22" t="s">
        <v>41</v>
      </c>
      <c r="B112" s="5">
        <v>0</v>
      </c>
      <c r="C112" s="23">
        <v>0</v>
      </c>
    </row>
    <row r="113" spans="1:3" x14ac:dyDescent="0.3">
      <c r="A113" s="22" t="s">
        <v>131</v>
      </c>
      <c r="B113" s="5">
        <v>0</v>
      </c>
      <c r="C113" s="23">
        <v>0</v>
      </c>
    </row>
    <row r="114" spans="1:3" x14ac:dyDescent="0.3">
      <c r="A114" s="22" t="s">
        <v>107</v>
      </c>
      <c r="B114" s="5">
        <v>0</v>
      </c>
      <c r="C114" s="23">
        <v>0</v>
      </c>
    </row>
    <row r="115" spans="1:3" x14ac:dyDescent="0.3">
      <c r="A115" s="22" t="s">
        <v>142</v>
      </c>
      <c r="B115" s="5">
        <v>0</v>
      </c>
      <c r="C115" s="23">
        <v>0</v>
      </c>
    </row>
    <row r="116" spans="1:3" hidden="1" x14ac:dyDescent="0.3">
      <c r="A116" s="22" t="s">
        <v>145</v>
      </c>
      <c r="B116" s="5">
        <v>0.2</v>
      </c>
      <c r="C116" s="23">
        <v>199.8</v>
      </c>
    </row>
    <row r="117" spans="1:3" hidden="1" x14ac:dyDescent="0.3">
      <c r="A117" s="22" t="s">
        <v>114</v>
      </c>
      <c r="B117" s="5">
        <v>0.05</v>
      </c>
      <c r="C117" s="23">
        <v>199.95</v>
      </c>
    </row>
    <row r="118" spans="1:3" hidden="1" x14ac:dyDescent="0.3">
      <c r="A118" s="22" t="s">
        <v>81</v>
      </c>
      <c r="B118" s="5">
        <v>0</v>
      </c>
      <c r="C118" s="23">
        <v>200</v>
      </c>
    </row>
    <row r="119" spans="1:3" hidden="1" x14ac:dyDescent="0.3">
      <c r="A119" s="22" t="s">
        <v>70</v>
      </c>
      <c r="B119" s="5">
        <v>0.2</v>
      </c>
      <c r="C119" s="23">
        <v>399.8</v>
      </c>
    </row>
    <row r="120" spans="1:3" hidden="1" x14ac:dyDescent="0.3">
      <c r="A120" s="22" t="s">
        <v>123</v>
      </c>
      <c r="B120" s="5">
        <v>0</v>
      </c>
      <c r="C120" s="23">
        <v>600</v>
      </c>
    </row>
    <row r="121" spans="1:3" hidden="1" x14ac:dyDescent="0.3">
      <c r="A121" s="22" t="s">
        <v>85</v>
      </c>
      <c r="B121" s="5">
        <v>0</v>
      </c>
      <c r="C121" s="23">
        <v>600</v>
      </c>
    </row>
    <row r="122" spans="1:3" hidden="1" x14ac:dyDescent="0.3">
      <c r="A122" s="22" t="s">
        <v>90</v>
      </c>
      <c r="B122" s="5">
        <v>0</v>
      </c>
      <c r="C122" s="23">
        <v>600</v>
      </c>
    </row>
    <row r="123" spans="1:3" hidden="1" x14ac:dyDescent="0.3">
      <c r="A123" s="22" t="s">
        <v>29</v>
      </c>
      <c r="B123" s="5">
        <v>0</v>
      </c>
      <c r="C123" s="23">
        <v>600</v>
      </c>
    </row>
    <row r="124" spans="1:3" hidden="1" x14ac:dyDescent="0.3">
      <c r="A124" s="22" t="s">
        <v>119</v>
      </c>
      <c r="B124" s="5">
        <v>0</v>
      </c>
      <c r="C124" s="23">
        <v>600</v>
      </c>
    </row>
    <row r="125" spans="1:3" hidden="1" x14ac:dyDescent="0.3">
      <c r="A125" s="22" t="s">
        <v>128</v>
      </c>
      <c r="B125" s="5">
        <v>0</v>
      </c>
      <c r="C125" s="23">
        <v>800</v>
      </c>
    </row>
    <row r="126" spans="1:3" hidden="1" x14ac:dyDescent="0.3">
      <c r="A126" s="22" t="s">
        <v>78</v>
      </c>
      <c r="B126" s="5">
        <v>0.2</v>
      </c>
      <c r="C126" s="23">
        <v>999.8</v>
      </c>
    </row>
    <row r="127" spans="1:3" hidden="1" x14ac:dyDescent="0.3">
      <c r="A127" s="22" t="s">
        <v>52</v>
      </c>
      <c r="B127" s="5">
        <v>0.2</v>
      </c>
      <c r="C127" s="23">
        <v>999.8</v>
      </c>
    </row>
    <row r="128" spans="1:3" hidden="1" x14ac:dyDescent="0.3">
      <c r="A128" s="22" t="s">
        <v>129</v>
      </c>
      <c r="B128" s="5">
        <v>0.1</v>
      </c>
      <c r="C128" s="23">
        <v>999.9</v>
      </c>
    </row>
    <row r="129" spans="1:3" hidden="1" x14ac:dyDescent="0.3">
      <c r="A129" s="22" t="s">
        <v>14</v>
      </c>
      <c r="B129" s="5">
        <v>0</v>
      </c>
      <c r="C129" s="23">
        <v>1000</v>
      </c>
    </row>
    <row r="130" spans="1:3" hidden="1" x14ac:dyDescent="0.3">
      <c r="A130" s="22" t="s">
        <v>65</v>
      </c>
      <c r="B130" s="5">
        <v>0.2</v>
      </c>
      <c r="C130" s="23">
        <v>1199.8</v>
      </c>
    </row>
    <row r="131" spans="1:3" hidden="1" x14ac:dyDescent="0.3">
      <c r="A131" s="22" t="s">
        <v>125</v>
      </c>
      <c r="B131" s="5">
        <v>0.1</v>
      </c>
      <c r="C131" s="23">
        <v>1399.9</v>
      </c>
    </row>
    <row r="132" spans="1:3" hidden="1" x14ac:dyDescent="0.3">
      <c r="A132" s="22" t="s">
        <v>134</v>
      </c>
      <c r="B132" s="5">
        <v>0.05</v>
      </c>
      <c r="C132" s="23">
        <v>1399.95</v>
      </c>
    </row>
    <row r="133" spans="1:3" hidden="1" x14ac:dyDescent="0.3">
      <c r="A133" s="22" t="s">
        <v>112</v>
      </c>
      <c r="B133" s="5">
        <v>0</v>
      </c>
      <c r="C133" s="23">
        <v>1400</v>
      </c>
    </row>
    <row r="134" spans="1:3" hidden="1" x14ac:dyDescent="0.3">
      <c r="A134" s="22" t="s">
        <v>61</v>
      </c>
      <c r="B134" s="5">
        <v>0</v>
      </c>
      <c r="C134" s="23">
        <v>1400</v>
      </c>
    </row>
    <row r="135" spans="1:3" hidden="1" x14ac:dyDescent="0.3">
      <c r="A135" s="22" t="s">
        <v>71</v>
      </c>
      <c r="B135" s="5">
        <v>0</v>
      </c>
      <c r="C135" s="23">
        <v>1600</v>
      </c>
    </row>
    <row r="136" spans="1:3" hidden="1" x14ac:dyDescent="0.3">
      <c r="A136" s="22" t="s">
        <v>74</v>
      </c>
      <c r="B136" s="5">
        <v>0</v>
      </c>
      <c r="C136" s="23">
        <v>1800</v>
      </c>
    </row>
    <row r="137" spans="1:3" hidden="1" x14ac:dyDescent="0.3">
      <c r="A137" s="22" t="s">
        <v>101</v>
      </c>
      <c r="B137" s="5">
        <v>0</v>
      </c>
      <c r="C137" s="23">
        <v>2000</v>
      </c>
    </row>
    <row r="138" spans="1:3" hidden="1" x14ac:dyDescent="0.3">
      <c r="A138" s="22" t="s">
        <v>59</v>
      </c>
      <c r="B138" s="5">
        <v>0.2</v>
      </c>
      <c r="C138" s="23">
        <v>15023.8</v>
      </c>
    </row>
    <row r="139" spans="1:3" hidden="1" x14ac:dyDescent="0.3">
      <c r="A139" s="22" t="s">
        <v>44</v>
      </c>
      <c r="B139" s="5">
        <v>0.2</v>
      </c>
      <c r="C139" s="23">
        <v>18804.8</v>
      </c>
    </row>
    <row r="140" spans="1:3" hidden="1" x14ac:dyDescent="0.3">
      <c r="A140" s="22" t="s">
        <v>22</v>
      </c>
      <c r="B140" s="5">
        <v>0.1</v>
      </c>
      <c r="C140" s="23">
        <v>41615.9</v>
      </c>
    </row>
    <row r="141" spans="1:3" hidden="1" x14ac:dyDescent="0.3">
      <c r="A141" s="22" t="s">
        <v>138</v>
      </c>
      <c r="B141" s="5">
        <v>0</v>
      </c>
      <c r="C141" s="23">
        <v>42476</v>
      </c>
    </row>
    <row r="142" spans="1:3" hidden="1" x14ac:dyDescent="0.3">
      <c r="A142" s="22" t="s">
        <v>115</v>
      </c>
      <c r="B142" s="5">
        <v>0.05</v>
      </c>
      <c r="C142" s="23">
        <v>49391.95</v>
      </c>
    </row>
    <row r="143" spans="1:3" hidden="1" x14ac:dyDescent="0.3">
      <c r="A143" s="22" t="s">
        <v>117</v>
      </c>
      <c r="B143" s="5">
        <v>0</v>
      </c>
      <c r="C143" s="23">
        <v>55497</v>
      </c>
    </row>
    <row r="144" spans="1:3" hidden="1" x14ac:dyDescent="0.3">
      <c r="A144" s="22" t="s">
        <v>97</v>
      </c>
      <c r="B144" s="5">
        <v>0</v>
      </c>
      <c r="C144" s="23">
        <v>56299</v>
      </c>
    </row>
    <row r="145" spans="1:3" hidden="1" x14ac:dyDescent="0.3">
      <c r="A145" s="22" t="s">
        <v>92</v>
      </c>
      <c r="B145" s="5">
        <v>0</v>
      </c>
      <c r="C145" s="23">
        <v>65472</v>
      </c>
    </row>
    <row r="146" spans="1:3" hidden="1" x14ac:dyDescent="0.3">
      <c r="A146" s="22" t="s">
        <v>83</v>
      </c>
      <c r="B146" s="5">
        <v>0.1</v>
      </c>
      <c r="C146" s="23">
        <v>67436.899999999994</v>
      </c>
    </row>
    <row r="147" spans="1:3" hidden="1" x14ac:dyDescent="0.3">
      <c r="A147" s="22" t="s">
        <v>77</v>
      </c>
      <c r="B147" s="5">
        <v>0</v>
      </c>
      <c r="C147" s="23">
        <v>71266</v>
      </c>
    </row>
    <row r="148" spans="1:3" hidden="1" x14ac:dyDescent="0.3">
      <c r="A148" s="22" t="s">
        <v>103</v>
      </c>
      <c r="B148" s="5">
        <v>0.05</v>
      </c>
      <c r="C148" s="23">
        <v>74875.95</v>
      </c>
    </row>
    <row r="149" spans="1:3" hidden="1" x14ac:dyDescent="0.3">
      <c r="A149" s="22" t="s">
        <v>109</v>
      </c>
      <c r="B149" s="5">
        <v>0.05</v>
      </c>
      <c r="C149" s="23">
        <v>75559.95</v>
      </c>
    </row>
    <row r="150" spans="1:3" hidden="1" x14ac:dyDescent="0.3">
      <c r="A150" s="22" t="s">
        <v>66</v>
      </c>
      <c r="B150" s="5">
        <v>0.2</v>
      </c>
      <c r="C150" s="23">
        <v>86419.8</v>
      </c>
    </row>
    <row r="151" spans="1:3" hidden="1" x14ac:dyDescent="0.3">
      <c r="A151" s="22" t="s">
        <v>49</v>
      </c>
      <c r="B151" s="5">
        <v>0</v>
      </c>
      <c r="C151" s="23">
        <v>90261</v>
      </c>
    </row>
    <row r="152" spans="1:3" hidden="1" x14ac:dyDescent="0.3">
      <c r="A152" s="22" t="s">
        <v>105</v>
      </c>
      <c r="B152" s="5">
        <v>0.2</v>
      </c>
      <c r="C152" s="23">
        <v>90470.8</v>
      </c>
    </row>
    <row r="153" spans="1:3" hidden="1" x14ac:dyDescent="0.3">
      <c r="A153" s="22" t="s">
        <v>46</v>
      </c>
      <c r="B153" s="5">
        <v>0.05</v>
      </c>
      <c r="C153" s="23">
        <v>103779.95</v>
      </c>
    </row>
    <row r="154" spans="1:3" hidden="1" x14ac:dyDescent="0.3">
      <c r="A154" s="22" t="s">
        <v>141</v>
      </c>
      <c r="B154" s="5">
        <v>0.2</v>
      </c>
      <c r="C154" s="23">
        <v>104796.8</v>
      </c>
    </row>
    <row r="155" spans="1:3" hidden="1" x14ac:dyDescent="0.3">
      <c r="A155" s="22" t="s">
        <v>72</v>
      </c>
      <c r="B155" s="5">
        <v>0</v>
      </c>
      <c r="C155" s="23">
        <v>110322</v>
      </c>
    </row>
    <row r="156" spans="1:3" hidden="1" x14ac:dyDescent="0.3">
      <c r="A156" s="22" t="s">
        <v>63</v>
      </c>
      <c r="B156" s="5">
        <v>0.2</v>
      </c>
      <c r="C156" s="23">
        <v>138007.79999999999</v>
      </c>
    </row>
    <row r="157" spans="1:3" hidden="1" x14ac:dyDescent="0.3">
      <c r="A157" s="22" t="s">
        <v>137</v>
      </c>
      <c r="B157" s="5">
        <v>0</v>
      </c>
      <c r="C157" s="23">
        <v>159984</v>
      </c>
    </row>
    <row r="158" spans="1:3" hidden="1" x14ac:dyDescent="0.3">
      <c r="A158" s="22" t="s">
        <v>143</v>
      </c>
      <c r="B158" s="5">
        <v>0.1</v>
      </c>
      <c r="C158" s="23">
        <v>171049.9</v>
      </c>
    </row>
    <row r="159" spans="1:3" hidden="1" x14ac:dyDescent="0.3">
      <c r="A159" s="22" t="s">
        <v>96</v>
      </c>
      <c r="B159" s="5">
        <v>0.1</v>
      </c>
      <c r="C159" s="23">
        <v>218009.9</v>
      </c>
    </row>
    <row r="160" spans="1:3" hidden="1" x14ac:dyDescent="0.3">
      <c r="A160" s="22" t="s">
        <v>34</v>
      </c>
      <c r="B160" s="5">
        <v>0</v>
      </c>
      <c r="C160" s="23">
        <v>221840</v>
      </c>
    </row>
    <row r="161" spans="1:3" hidden="1" x14ac:dyDescent="0.3">
      <c r="A161" s="22" t="s">
        <v>127</v>
      </c>
      <c r="B161" s="5">
        <v>0.2</v>
      </c>
      <c r="C161" s="23">
        <v>236109.8</v>
      </c>
    </row>
    <row r="162" spans="1:3" hidden="1" x14ac:dyDescent="0.3">
      <c r="A162" s="22" t="s">
        <v>67</v>
      </c>
      <c r="B162" s="5">
        <v>0.2</v>
      </c>
      <c r="C162" s="23">
        <v>287069.8</v>
      </c>
    </row>
    <row r="163" spans="1:3" hidden="1" x14ac:dyDescent="0.3">
      <c r="A163" s="22" t="s">
        <v>47</v>
      </c>
      <c r="B163" s="5">
        <v>0.05</v>
      </c>
      <c r="C163" s="23">
        <v>291409.95</v>
      </c>
    </row>
    <row r="164" spans="1:3" hidden="1" x14ac:dyDescent="0.3">
      <c r="A164" s="22" t="s">
        <v>38</v>
      </c>
      <c r="B164" s="5">
        <v>0.2</v>
      </c>
      <c r="C164" s="23">
        <v>306789.8</v>
      </c>
    </row>
    <row r="165" spans="1:3" hidden="1" x14ac:dyDescent="0.3">
      <c r="A165" s="22" t="s">
        <v>53</v>
      </c>
      <c r="B165" s="5">
        <v>0</v>
      </c>
      <c r="C165" s="23">
        <v>398952</v>
      </c>
    </row>
    <row r="166" spans="1:3" hidden="1" x14ac:dyDescent="0.3">
      <c r="A166" s="22" t="s">
        <v>139</v>
      </c>
      <c r="B166" s="5">
        <v>0.1</v>
      </c>
      <c r="C166" s="23">
        <v>483974.9</v>
      </c>
    </row>
    <row r="167" spans="1:3" hidden="1" x14ac:dyDescent="0.3">
      <c r="A167" s="24" t="s">
        <v>155</v>
      </c>
      <c r="B167" s="51">
        <v>5.299999999999998</v>
      </c>
      <c r="C167" s="25">
        <v>4153964.7</v>
      </c>
    </row>
    <row r="169" spans="1:3" x14ac:dyDescent="0.3">
      <c r="A169" s="19" t="s">
        <v>201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5499-6AC9-439C-822F-148CFA43F9FE}">
  <dimension ref="A1:Z32"/>
  <sheetViews>
    <sheetView tabSelected="1" workbookViewId="0">
      <selection activeCell="L12" sqref="L12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2.109375" bestFit="1" customWidth="1"/>
  </cols>
  <sheetData>
    <row r="1" spans="1:26" ht="15" thickTop="1" x14ac:dyDescent="0.3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7"/>
      <c r="Y1" s="52"/>
      <c r="Z1" s="52"/>
    </row>
    <row r="2" spans="1:26" ht="24.6" x14ac:dyDescent="0.4">
      <c r="A2" s="58"/>
      <c r="B2" s="53"/>
      <c r="C2" s="53"/>
      <c r="D2" s="53"/>
      <c r="E2" s="53"/>
      <c r="F2" s="53"/>
      <c r="G2" s="53"/>
      <c r="H2" s="53"/>
      <c r="I2" s="54" t="s">
        <v>202</v>
      </c>
      <c r="J2" s="53"/>
      <c r="K2" s="53"/>
      <c r="L2" s="54"/>
      <c r="M2" s="53"/>
      <c r="N2" s="54"/>
      <c r="O2" s="53"/>
      <c r="P2" s="53"/>
      <c r="Q2" s="53"/>
      <c r="R2" s="53"/>
      <c r="S2" s="53"/>
      <c r="T2" s="53"/>
      <c r="U2" s="53"/>
      <c r="V2" s="53"/>
      <c r="W2" s="53"/>
      <c r="X2" s="59"/>
      <c r="Y2" s="52"/>
      <c r="Z2" s="52"/>
    </row>
    <row r="3" spans="1:26" ht="15" thickBot="1" x14ac:dyDescent="0.3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52"/>
      <c r="Z3" s="52"/>
    </row>
    <row r="4" spans="1:26" ht="15" thickTop="1" x14ac:dyDescent="0.3">
      <c r="A4" s="9" t="s">
        <v>154</v>
      </c>
      <c r="B4" t="s">
        <v>192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x14ac:dyDescent="0.3">
      <c r="A5" s="10" t="s">
        <v>168</v>
      </c>
      <c r="B5" s="46">
        <v>40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x14ac:dyDescent="0.3">
      <c r="A6" s="10" t="s">
        <v>169</v>
      </c>
      <c r="B6" s="46">
        <v>37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x14ac:dyDescent="0.3">
      <c r="A7" s="10" t="s">
        <v>170</v>
      </c>
      <c r="B7" s="46">
        <v>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x14ac:dyDescent="0.3">
      <c r="A8" s="10" t="s">
        <v>155</v>
      </c>
      <c r="B8" s="46">
        <v>79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x14ac:dyDescent="0.3"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x14ac:dyDescent="0.3"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x14ac:dyDescent="0.3"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x14ac:dyDescent="0.3"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x14ac:dyDescent="0.3"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x14ac:dyDescent="0.3"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x14ac:dyDescent="0.3"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x14ac:dyDescent="0.3"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x14ac:dyDescent="0.3"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x14ac:dyDescent="0.3"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x14ac:dyDescent="0.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x14ac:dyDescent="0.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</row>
    <row r="29" spans="1:26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</row>
    <row r="30" spans="1:26" x14ac:dyDescent="0.3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spans="1:26" x14ac:dyDescent="0.3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spans="1:26" x14ac:dyDescent="0.3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A708F0-B56A-46D8-83E0-29DEDBF5D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RAW_DATA</vt:lpstr>
      <vt:lpstr>Cleaned_data</vt:lpstr>
      <vt:lpstr>SALES &amp; REVENUE INSIGHTS</vt:lpstr>
      <vt:lpstr>PROFITABILITY INSIGHTS</vt:lpstr>
      <vt:lpstr>DISCOUNT ANALYSIS</vt:lpstr>
      <vt:lpstr>SHIPPING &amp; OPERATIONAL INSIGHTS</vt:lpstr>
      <vt:lpstr>CUSTOMER &amp; SEGMENT INSIGHTS</vt:lpstr>
      <vt:lpstr>📈 TIME-BASED INSIGHTS</vt:lpstr>
      <vt:lpstr>Misc</vt:lpstr>
      <vt:lpstr>Dashboard</vt:lpstr>
      <vt:lpstr>DATA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bhondve</dc:creator>
  <cp:lastModifiedBy>Yash bhondve</cp:lastModifiedBy>
  <dcterms:created xsi:type="dcterms:W3CDTF">2026-01-14T07:12:44Z</dcterms:created>
  <dcterms:modified xsi:type="dcterms:W3CDTF">2026-01-15T10:00:33Z</dcterms:modified>
</cp:coreProperties>
</file>